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Home\Projects\Baseball Analytics\2021-Spring\Mets Outfielder Positioning 2021\WAS OF Positioning v1\"/>
    </mc:Choice>
  </mc:AlternateContent>
  <xr:revisionPtr revIDLastSave="0" documentId="13_ncr:1_{C2E82184-7752-4BF2-BDB3-59619DADFAC7}" xr6:coauthVersionLast="47" xr6:coauthVersionMax="47" xr10:uidLastSave="{00000000-0000-0000-0000-000000000000}"/>
  <bookViews>
    <workbookView xWindow="23880" yWindow="-120" windowWidth="29040" windowHeight="16440" xr2:uid="{00000000-000D-0000-FFFF-FFFF00000000}"/>
  </bookViews>
  <sheets>
    <sheet name="MAIN" sheetId="2" r:id="rId1"/>
    <sheet name="HT" sheetId="4" r:id="rId2"/>
    <sheet name="--" sheetId="1" r:id="rId3"/>
    <sheet name="---" sheetId="3" r:id="rId4"/>
  </sheets>
  <definedNames>
    <definedName name="_xlnm._FilterDatabase" localSheetId="2" hidden="1">'--'!$A$1:$K$55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X10" i="2" l="1"/>
  <c r="AU10" i="2"/>
  <c r="G49" i="2"/>
  <c r="G32" i="2"/>
  <c r="G78" i="2"/>
  <c r="G51" i="2"/>
  <c r="G76" i="2"/>
  <c r="G62" i="2"/>
  <c r="G12" i="2"/>
  <c r="G18" i="2"/>
  <c r="G57" i="2"/>
  <c r="G43" i="2"/>
  <c r="G60" i="2"/>
  <c r="G54" i="2"/>
  <c r="G84" i="2"/>
  <c r="G67" i="2"/>
  <c r="G81" i="2"/>
  <c r="G13" i="2"/>
  <c r="G16" i="2"/>
  <c r="G53" i="2"/>
  <c r="G89" i="2"/>
  <c r="G40" i="2"/>
  <c r="G64" i="2"/>
  <c r="G65" i="2"/>
  <c r="G55" i="2"/>
  <c r="G25" i="2"/>
  <c r="G44" i="2"/>
  <c r="G28" i="2"/>
  <c r="G82" i="2"/>
  <c r="G33" i="2"/>
  <c r="G77" i="2"/>
  <c r="G86" i="2"/>
  <c r="G80" i="2"/>
  <c r="G68" i="2"/>
  <c r="G19" i="2"/>
  <c r="G15" i="2"/>
  <c r="G85" i="2"/>
  <c r="G30" i="2"/>
  <c r="G48" i="2"/>
  <c r="G17" i="2"/>
  <c r="G35" i="2"/>
  <c r="G70" i="2"/>
  <c r="G59" i="2"/>
  <c r="G14" i="2"/>
  <c r="G45" i="2"/>
  <c r="G58" i="2"/>
  <c r="G73" i="2"/>
  <c r="G31" i="2"/>
  <c r="G66" i="2"/>
  <c r="G71" i="2"/>
  <c r="G47" i="2"/>
  <c r="G72" i="2"/>
  <c r="G21" i="2"/>
  <c r="G27" i="2"/>
  <c r="G34" i="2"/>
  <c r="G20" i="2"/>
  <c r="G75" i="2"/>
  <c r="G37" i="2"/>
  <c r="G38" i="2"/>
  <c r="G88" i="2"/>
  <c r="G74" i="2"/>
  <c r="G69" i="2"/>
  <c r="G29" i="2"/>
  <c r="G26" i="2"/>
  <c r="G23" i="2"/>
  <c r="G83" i="2"/>
  <c r="G50" i="2"/>
  <c r="G36" i="2"/>
  <c r="G63" i="2"/>
  <c r="G39" i="2"/>
  <c r="G42" i="2"/>
  <c r="G61" i="2"/>
  <c r="G87" i="2"/>
  <c r="G41" i="2"/>
  <c r="G56" i="2"/>
  <c r="G91" i="2"/>
  <c r="G79" i="2"/>
  <c r="G52" i="2"/>
  <c r="G22" i="2"/>
  <c r="G90" i="2"/>
  <c r="G46" i="2"/>
  <c r="G24" i="2"/>
  <c r="AJ26" i="2"/>
  <c r="AJ83" i="2"/>
  <c r="AJ50" i="2"/>
  <c r="AJ20" i="2"/>
  <c r="AJ75" i="2"/>
  <c r="AJ37" i="2"/>
  <c r="AJ38" i="2"/>
  <c r="AJ49" i="2"/>
  <c r="AJ32" i="2"/>
  <c r="AJ78" i="2"/>
  <c r="AJ51" i="2"/>
  <c r="AJ42" i="2"/>
  <c r="AJ61" i="2"/>
  <c r="AJ76" i="2"/>
  <c r="AJ62" i="2"/>
  <c r="AJ87" i="2"/>
  <c r="AJ12" i="2"/>
  <c r="AJ41" i="2"/>
  <c r="AJ18" i="2"/>
  <c r="AJ57" i="2"/>
  <c r="AJ43" i="2"/>
  <c r="AJ60" i="2"/>
  <c r="AJ54" i="2"/>
  <c r="AJ84" i="2"/>
  <c r="AJ67" i="2"/>
  <c r="AJ81" i="2"/>
  <c r="AJ13" i="2"/>
  <c r="AJ16" i="2"/>
  <c r="AJ53" i="2"/>
  <c r="AJ89" i="2"/>
  <c r="AJ40" i="2"/>
  <c r="AJ64" i="2"/>
  <c r="AJ65" i="2"/>
  <c r="AJ55" i="2"/>
  <c r="AJ25" i="2"/>
  <c r="AJ44" i="2"/>
  <c r="AJ28" i="2"/>
  <c r="AJ82" i="2"/>
  <c r="AJ33" i="2"/>
  <c r="AJ77" i="2"/>
  <c r="AJ86" i="2"/>
  <c r="AJ80" i="2"/>
  <c r="AJ68" i="2"/>
  <c r="AJ19" i="2"/>
  <c r="AJ15" i="2"/>
  <c r="AJ85" i="2"/>
  <c r="AJ30" i="2"/>
  <c r="AJ48" i="2"/>
  <c r="AJ17" i="2"/>
  <c r="AJ35" i="2"/>
  <c r="AJ70" i="2"/>
  <c r="AJ59" i="2"/>
  <c r="AJ14" i="2"/>
  <c r="AJ45" i="2"/>
  <c r="AJ58" i="2"/>
  <c r="AJ73" i="2"/>
  <c r="AJ31" i="2"/>
  <c r="AJ66" i="2"/>
  <c r="AJ71" i="2"/>
  <c r="AJ47" i="2"/>
  <c r="AJ72" i="2"/>
  <c r="AJ21" i="2"/>
  <c r="AJ27" i="2"/>
  <c r="AJ34" i="2"/>
  <c r="AJ88" i="2"/>
  <c r="AJ74" i="2"/>
  <c r="AJ69" i="2"/>
  <c r="AJ29" i="2"/>
  <c r="AJ23" i="2"/>
  <c r="AJ36" i="2"/>
  <c r="AJ63" i="2"/>
  <c r="AJ39" i="2"/>
  <c r="AJ56" i="2"/>
  <c r="AJ91" i="2"/>
  <c r="AJ79" i="2"/>
  <c r="AJ52" i="2"/>
  <c r="AJ22" i="2"/>
  <c r="AJ90" i="2"/>
  <c r="AJ46" i="2"/>
  <c r="AJ24" i="2"/>
  <c r="AG7" i="2"/>
  <c r="AF7" i="2"/>
  <c r="AE7" i="2"/>
  <c r="AD7" i="2"/>
  <c r="AK52" i="2" l="1"/>
  <c r="AK36" i="2"/>
  <c r="AK59" i="2"/>
  <c r="AK84" i="2"/>
  <c r="AK29" i="2"/>
  <c r="AK47" i="2"/>
  <c r="AK28" i="2"/>
  <c r="AK32" i="2"/>
  <c r="AK19" i="2"/>
  <c r="AK44" i="2"/>
  <c r="AK53" i="2"/>
  <c r="AK40" i="2"/>
  <c r="AK49" i="2"/>
  <c r="AK38" i="2"/>
  <c r="AK46" i="2"/>
  <c r="AK86" i="2"/>
  <c r="AK26" i="2"/>
  <c r="AK58" i="2"/>
  <c r="AK22" i="2"/>
  <c r="AK21" i="2"/>
  <c r="AK13" i="2"/>
  <c r="AK56" i="2"/>
  <c r="AK72" i="2"/>
  <c r="AK45" i="2"/>
  <c r="AK30" i="2"/>
  <c r="AK65" i="2"/>
  <c r="AK37" i="2"/>
  <c r="AK14" i="2"/>
  <c r="AK85" i="2"/>
  <c r="AK33" i="2"/>
  <c r="AK16" i="2"/>
  <c r="AK90" i="2"/>
  <c r="AK15" i="2"/>
  <c r="AK82" i="2"/>
  <c r="AK64" i="2"/>
  <c r="AK43" i="2"/>
  <c r="AK75" i="2"/>
  <c r="AK57" i="2"/>
  <c r="AK20" i="2"/>
  <c r="AK39" i="2"/>
  <c r="AK88" i="2"/>
  <c r="AK89" i="2"/>
  <c r="AK81" i="2"/>
  <c r="AK18" i="2"/>
  <c r="AK87" i="2"/>
  <c r="AK42" i="2"/>
  <c r="AK63" i="2"/>
  <c r="AK31" i="2"/>
  <c r="AK67" i="2"/>
  <c r="AK41" i="2"/>
  <c r="AK62" i="2"/>
  <c r="AK51" i="2"/>
  <c r="AK50" i="2"/>
  <c r="AK91" i="2"/>
  <c r="AK23" i="2"/>
  <c r="AK27" i="2"/>
  <c r="AK17" i="2"/>
  <c r="AK76" i="2"/>
  <c r="AK78" i="2"/>
  <c r="AK79" i="2"/>
  <c r="AK69" i="2"/>
  <c r="AK71" i="2"/>
  <c r="AK70" i="2"/>
  <c r="AK68" i="2"/>
  <c r="AK25" i="2"/>
  <c r="AK54" i="2"/>
  <c r="AK61" i="2"/>
  <c r="AK34" i="2"/>
  <c r="AK73" i="2"/>
  <c r="AK48" i="2"/>
  <c r="AK77" i="2"/>
  <c r="AK24" i="2"/>
  <c r="AK74" i="2"/>
  <c r="AK66" i="2"/>
  <c r="AK35" i="2"/>
  <c r="AK80" i="2"/>
  <c r="AK55" i="2"/>
  <c r="AK60" i="2"/>
  <c r="AK12" i="2"/>
  <c r="AK83" i="2"/>
  <c r="S83" i="4" l="1"/>
  <c r="R83" i="4"/>
  <c r="S82" i="4"/>
  <c r="R82" i="4"/>
  <c r="AE82" i="4" s="1"/>
  <c r="S81" i="4"/>
  <c r="R81" i="4"/>
  <c r="AE81" i="4" s="1"/>
  <c r="S80" i="4"/>
  <c r="R80" i="4"/>
  <c r="AE80" i="4" s="1"/>
  <c r="S79" i="4"/>
  <c r="R79" i="4"/>
  <c r="AE79" i="4" s="1"/>
  <c r="S78" i="4"/>
  <c r="R78" i="4"/>
  <c r="S77" i="4"/>
  <c r="R77" i="4"/>
  <c r="AE77" i="4" s="1"/>
  <c r="S76" i="4"/>
  <c r="R76" i="4"/>
  <c r="V76" i="4" s="1"/>
  <c r="W76" i="4" s="1"/>
  <c r="X76" i="4" s="1"/>
  <c r="S75" i="4"/>
  <c r="R75" i="4"/>
  <c r="V75" i="4" s="1"/>
  <c r="W75" i="4" s="1"/>
  <c r="X75" i="4" s="1"/>
  <c r="S74" i="4"/>
  <c r="R74" i="4"/>
  <c r="AE74" i="4" s="1"/>
  <c r="S73" i="4"/>
  <c r="R73" i="4"/>
  <c r="AE73" i="4" s="1"/>
  <c r="S72" i="4"/>
  <c r="R72" i="4"/>
  <c r="S71" i="4"/>
  <c r="R71" i="4"/>
  <c r="V71" i="4" s="1"/>
  <c r="W71" i="4" s="1"/>
  <c r="X71" i="4" s="1"/>
  <c r="Y71" i="4" s="1"/>
  <c r="S70" i="4"/>
  <c r="R70" i="4"/>
  <c r="V70" i="4" s="1"/>
  <c r="W70" i="4" s="1"/>
  <c r="X70" i="4" s="1"/>
  <c r="S69" i="4"/>
  <c r="R69" i="4"/>
  <c r="AE69" i="4" s="1"/>
  <c r="S68" i="4"/>
  <c r="R68" i="4"/>
  <c r="S67" i="4"/>
  <c r="R67" i="4"/>
  <c r="AE67" i="4" s="1"/>
  <c r="S66" i="4"/>
  <c r="R66" i="4"/>
  <c r="AE66" i="4" s="1"/>
  <c r="S65" i="4"/>
  <c r="R65" i="4"/>
  <c r="V65" i="4" s="1"/>
  <c r="W65" i="4" s="1"/>
  <c r="X65" i="4" s="1"/>
  <c r="S64" i="4"/>
  <c r="R64" i="4"/>
  <c r="AE64" i="4" s="1"/>
  <c r="S63" i="4"/>
  <c r="R63" i="4"/>
  <c r="AE63" i="4" s="1"/>
  <c r="S62" i="4"/>
  <c r="R62" i="4"/>
  <c r="AE62" i="4" s="1"/>
  <c r="S61" i="4"/>
  <c r="R61" i="4"/>
  <c r="S60" i="4"/>
  <c r="R60" i="4"/>
  <c r="V60" i="4" s="1"/>
  <c r="W60" i="4" s="1"/>
  <c r="X60" i="4" s="1"/>
  <c r="Y60" i="4" s="1"/>
  <c r="S59" i="4"/>
  <c r="R59" i="4"/>
  <c r="AE59" i="4" s="1"/>
  <c r="S58" i="4"/>
  <c r="R58" i="4"/>
  <c r="V58" i="4" s="1"/>
  <c r="W58" i="4" s="1"/>
  <c r="X58" i="4" s="1"/>
  <c r="S57" i="4"/>
  <c r="R57" i="4"/>
  <c r="V57" i="4" s="1"/>
  <c r="W57" i="4" s="1"/>
  <c r="X57" i="4" s="1"/>
  <c r="S56" i="4"/>
  <c r="R56" i="4"/>
  <c r="AE56" i="4" s="1"/>
  <c r="S55" i="4"/>
  <c r="R55" i="4"/>
  <c r="AE55" i="4" s="1"/>
  <c r="S54" i="4"/>
  <c r="R54" i="4"/>
  <c r="AE54" i="4" s="1"/>
  <c r="S53" i="4"/>
  <c r="R53" i="4"/>
  <c r="S52" i="4"/>
  <c r="R52" i="4"/>
  <c r="V52" i="4" s="1"/>
  <c r="W52" i="4" s="1"/>
  <c r="X52" i="4" s="1"/>
  <c r="Y52" i="4" s="1"/>
  <c r="S51" i="4"/>
  <c r="R51" i="4"/>
  <c r="AE51" i="4" s="1"/>
  <c r="S50" i="4"/>
  <c r="R50" i="4"/>
  <c r="V50" i="4" s="1"/>
  <c r="W50" i="4" s="1"/>
  <c r="X50" i="4" s="1"/>
  <c r="S49" i="4"/>
  <c r="R49" i="4"/>
  <c r="V49" i="4" s="1"/>
  <c r="W49" i="4" s="1"/>
  <c r="X49" i="4" s="1"/>
  <c r="S48" i="4"/>
  <c r="R48" i="4"/>
  <c r="AE48" i="4" s="1"/>
  <c r="S47" i="4"/>
  <c r="R47" i="4"/>
  <c r="AE47" i="4" s="1"/>
  <c r="AE57" i="4" l="1"/>
  <c r="AE65" i="4"/>
  <c r="N52" i="4"/>
  <c r="AE52" i="4"/>
  <c r="V55" i="4"/>
  <c r="W55" i="4" s="1"/>
  <c r="X55" i="4" s="1"/>
  <c r="V69" i="4"/>
  <c r="W69" i="4" s="1"/>
  <c r="X69" i="4" s="1"/>
  <c r="Y69" i="4" s="1"/>
  <c r="N69" i="4" s="1"/>
  <c r="L69" i="4" s="1"/>
  <c r="V80" i="4"/>
  <c r="W80" i="4" s="1"/>
  <c r="X80" i="4" s="1"/>
  <c r="V64" i="4"/>
  <c r="W64" i="4" s="1"/>
  <c r="X64" i="4" s="1"/>
  <c r="Y64" i="4" s="1"/>
  <c r="N64" i="4" s="1"/>
  <c r="L64" i="4" s="1"/>
  <c r="V67" i="4"/>
  <c r="W67" i="4" s="1"/>
  <c r="X67" i="4" s="1"/>
  <c r="AA67" i="4" s="1"/>
  <c r="AD67" i="4" s="1"/>
  <c r="AE70" i="4"/>
  <c r="V82" i="4"/>
  <c r="W82" i="4" s="1"/>
  <c r="X82" i="4" s="1"/>
  <c r="AE50" i="4"/>
  <c r="V81" i="4"/>
  <c r="W81" i="4" s="1"/>
  <c r="X81" i="4" s="1"/>
  <c r="V66" i="4"/>
  <c r="W66" i="4" s="1"/>
  <c r="X66" i="4" s="1"/>
  <c r="AA66" i="4" s="1"/>
  <c r="AD66" i="4" s="1"/>
  <c r="V79" i="4"/>
  <c r="W79" i="4" s="1"/>
  <c r="X79" i="4" s="1"/>
  <c r="Y79" i="4" s="1"/>
  <c r="N79" i="4" s="1"/>
  <c r="V56" i="4"/>
  <c r="W56" i="4" s="1"/>
  <c r="X56" i="4" s="1"/>
  <c r="AA56" i="4" s="1"/>
  <c r="AD56" i="4" s="1"/>
  <c r="Y75" i="4"/>
  <c r="AA75" i="4"/>
  <c r="AD75" i="4" s="1"/>
  <c r="AA58" i="4"/>
  <c r="AD58" i="4" s="1"/>
  <c r="Y58" i="4"/>
  <c r="N58" i="4" s="1"/>
  <c r="AA50" i="4"/>
  <c r="AD50" i="4" s="1"/>
  <c r="Y50" i="4"/>
  <c r="V47" i="4"/>
  <c r="W47" i="4" s="1"/>
  <c r="X47" i="4" s="1"/>
  <c r="AE58" i="4"/>
  <c r="N60" i="4"/>
  <c r="V73" i="4"/>
  <c r="W73" i="4" s="1"/>
  <c r="X73" i="4" s="1"/>
  <c r="Y73" i="4" s="1"/>
  <c r="N73" i="4" s="1"/>
  <c r="V77" i="4"/>
  <c r="W77" i="4" s="1"/>
  <c r="X77" i="4" s="1"/>
  <c r="AA77" i="4" s="1"/>
  <c r="AD77" i="4" s="1"/>
  <c r="AE49" i="4"/>
  <c r="V51" i="4"/>
  <c r="W51" i="4" s="1"/>
  <c r="X51" i="4" s="1"/>
  <c r="AE60" i="4"/>
  <c r="V63" i="4"/>
  <c r="W63" i="4" s="1"/>
  <c r="X63" i="4" s="1"/>
  <c r="AA63" i="4" s="1"/>
  <c r="AD63" i="4" s="1"/>
  <c r="AA71" i="4"/>
  <c r="AD71" i="4" s="1"/>
  <c r="V48" i="4"/>
  <c r="W48" i="4" s="1"/>
  <c r="X48" i="4" s="1"/>
  <c r="V59" i="4"/>
  <c r="W59" i="4" s="1"/>
  <c r="X59" i="4" s="1"/>
  <c r="V74" i="4"/>
  <c r="W74" i="4" s="1"/>
  <c r="X74" i="4" s="1"/>
  <c r="Y74" i="4" s="1"/>
  <c r="N74" i="4" s="1"/>
  <c r="AE76" i="4"/>
  <c r="AA57" i="4"/>
  <c r="AD57" i="4" s="1"/>
  <c r="Y57" i="4"/>
  <c r="N57" i="4" s="1"/>
  <c r="L57" i="4" s="1"/>
  <c r="AA65" i="4"/>
  <c r="AD65" i="4" s="1"/>
  <c r="Y65" i="4"/>
  <c r="AA82" i="4"/>
  <c r="Y82" i="4"/>
  <c r="N82" i="4" s="1"/>
  <c r="AA49" i="4"/>
  <c r="AD49" i="4" s="1"/>
  <c r="Y49" i="4"/>
  <c r="N49" i="4" s="1"/>
  <c r="AA48" i="4"/>
  <c r="AD48" i="4" s="1"/>
  <c r="Y48" i="4"/>
  <c r="N48" i="4" s="1"/>
  <c r="V68" i="4"/>
  <c r="W68" i="4" s="1"/>
  <c r="X68" i="4" s="1"/>
  <c r="AA76" i="4"/>
  <c r="AD76" i="4" s="1"/>
  <c r="Y76" i="4"/>
  <c r="N76" i="4" s="1"/>
  <c r="V53" i="4"/>
  <c r="W53" i="4" s="1"/>
  <c r="X53" i="4" s="1"/>
  <c r="AE53" i="4"/>
  <c r="AA80" i="4"/>
  <c r="AD80" i="4" s="1"/>
  <c r="Y80" i="4"/>
  <c r="N80" i="4" s="1"/>
  <c r="V61" i="4"/>
  <c r="W61" i="4" s="1"/>
  <c r="X61" i="4" s="1"/>
  <c r="AE61" i="4"/>
  <c r="AA69" i="4"/>
  <c r="AD69" i="4" s="1"/>
  <c r="AA70" i="4"/>
  <c r="AD70" i="4" s="1"/>
  <c r="Y70" i="4"/>
  <c r="N70" i="4" s="1"/>
  <c r="AE72" i="4"/>
  <c r="V72" i="4"/>
  <c r="W72" i="4" s="1"/>
  <c r="X72" i="4" s="1"/>
  <c r="N75" i="4"/>
  <c r="V78" i="4"/>
  <c r="W78" i="4" s="1"/>
  <c r="X78" i="4" s="1"/>
  <c r="AE78" i="4"/>
  <c r="AA52" i="4"/>
  <c r="V54" i="4"/>
  <c r="W54" i="4" s="1"/>
  <c r="X54" i="4" s="1"/>
  <c r="AA60" i="4"/>
  <c r="V62" i="4"/>
  <c r="W62" i="4" s="1"/>
  <c r="X62" i="4" s="1"/>
  <c r="AE68" i="4"/>
  <c r="Y81" i="4"/>
  <c r="N81" i="4" s="1"/>
  <c r="AA81" i="4"/>
  <c r="AD81" i="4" s="1"/>
  <c r="AA55" i="4"/>
  <c r="AD55" i="4" s="1"/>
  <c r="Y55" i="4"/>
  <c r="N55" i="4" s="1"/>
  <c r="L55" i="4" s="1"/>
  <c r="AA47" i="4"/>
  <c r="AD47" i="4" s="1"/>
  <c r="Y47" i="4"/>
  <c r="N47" i="4" s="1"/>
  <c r="V83" i="4"/>
  <c r="W83" i="4" s="1"/>
  <c r="X83" i="4" s="1"/>
  <c r="AE83" i="4"/>
  <c r="AA74" i="4"/>
  <c r="AD74" i="4" s="1"/>
  <c r="N50" i="4"/>
  <c r="N65" i="4"/>
  <c r="L65" i="4" s="1"/>
  <c r="N71" i="4"/>
  <c r="L71" i="4" s="1"/>
  <c r="AE75" i="4"/>
  <c r="AB75" i="4"/>
  <c r="AF75" i="4" s="1"/>
  <c r="AB49" i="4"/>
  <c r="AF49" i="4" s="1"/>
  <c r="O49" i="4" s="1"/>
  <c r="AE71" i="4"/>
  <c r="AB70" i="4"/>
  <c r="AF70" i="4" s="1"/>
  <c r="AG70" i="4" s="1"/>
  <c r="AA79" i="4"/>
  <c r="S46" i="4"/>
  <c r="R46" i="4"/>
  <c r="V46" i="4" s="1"/>
  <c r="W46" i="4" s="1"/>
  <c r="X46" i="4" s="1"/>
  <c r="S45" i="4"/>
  <c r="R45" i="4"/>
  <c r="AE45" i="4" s="1"/>
  <c r="S44" i="4"/>
  <c r="R44" i="4"/>
  <c r="S43" i="4"/>
  <c r="R43" i="4"/>
  <c r="AE43" i="4" s="1"/>
  <c r="S42" i="4"/>
  <c r="R42" i="4"/>
  <c r="V42" i="4" s="1"/>
  <c r="W42" i="4" s="1"/>
  <c r="X42" i="4" s="1"/>
  <c r="S41" i="4"/>
  <c r="R41" i="4"/>
  <c r="AE41" i="4" s="1"/>
  <c r="S40" i="4"/>
  <c r="R40" i="4"/>
  <c r="S39" i="4"/>
  <c r="R39" i="4"/>
  <c r="AE39" i="4" s="1"/>
  <c r="S38" i="4"/>
  <c r="R38" i="4"/>
  <c r="V38" i="4" s="1"/>
  <c r="W38" i="4" s="1"/>
  <c r="X38" i="4" s="1"/>
  <c r="S37" i="4"/>
  <c r="R37" i="4"/>
  <c r="AE37" i="4" s="1"/>
  <c r="S36" i="4"/>
  <c r="R36" i="4"/>
  <c r="S35" i="4"/>
  <c r="R35" i="4"/>
  <c r="AE35" i="4" s="1"/>
  <c r="S34" i="4"/>
  <c r="R34" i="4"/>
  <c r="V34" i="4" s="1"/>
  <c r="W34" i="4" s="1"/>
  <c r="X34" i="4" s="1"/>
  <c r="S33" i="4"/>
  <c r="R33" i="4"/>
  <c r="AE33" i="4" s="1"/>
  <c r="S32" i="4"/>
  <c r="R32" i="4"/>
  <c r="S31" i="4"/>
  <c r="R31" i="4"/>
  <c r="AE31" i="4" s="1"/>
  <c r="S30" i="4"/>
  <c r="R30" i="4"/>
  <c r="V30" i="4" s="1"/>
  <c r="W30" i="4" s="1"/>
  <c r="X30" i="4" s="1"/>
  <c r="S29" i="4"/>
  <c r="R29" i="4"/>
  <c r="AE29" i="4" s="1"/>
  <c r="S28" i="4"/>
  <c r="R28" i="4"/>
  <c r="V28" i="4" s="1"/>
  <c r="W28" i="4" s="1"/>
  <c r="X28" i="4" s="1"/>
  <c r="S27" i="4"/>
  <c r="R27" i="4"/>
  <c r="AE27" i="4" s="1"/>
  <c r="S26" i="4"/>
  <c r="R26" i="4"/>
  <c r="V26" i="4" s="1"/>
  <c r="W26" i="4" s="1"/>
  <c r="X26" i="4" s="1"/>
  <c r="S25" i="4"/>
  <c r="R25" i="4"/>
  <c r="AE25" i="4" s="1"/>
  <c r="S24" i="4"/>
  <c r="R24" i="4"/>
  <c r="V24" i="4" s="1"/>
  <c r="W24" i="4" s="1"/>
  <c r="X24" i="4" s="1"/>
  <c r="S23" i="4"/>
  <c r="R23" i="4"/>
  <c r="AE23" i="4" s="1"/>
  <c r="S22" i="4"/>
  <c r="R22" i="4"/>
  <c r="V22" i="4" s="1"/>
  <c r="W22" i="4" s="1"/>
  <c r="X22" i="4" s="1"/>
  <c r="S21" i="4"/>
  <c r="R21" i="4"/>
  <c r="AE21" i="4" s="1"/>
  <c r="S20" i="4"/>
  <c r="R20" i="4"/>
  <c r="V20" i="4" s="1"/>
  <c r="W20" i="4" s="1"/>
  <c r="X20" i="4" s="1"/>
  <c r="S19" i="4"/>
  <c r="R19" i="4"/>
  <c r="AE19" i="4" s="1"/>
  <c r="S18" i="4"/>
  <c r="R18" i="4"/>
  <c r="V18" i="4" s="1"/>
  <c r="W18" i="4" s="1"/>
  <c r="X18" i="4" s="1"/>
  <c r="S17" i="4"/>
  <c r="R17" i="4"/>
  <c r="AE17" i="4" s="1"/>
  <c r="S16" i="4"/>
  <c r="R16" i="4"/>
  <c r="V16" i="4" s="1"/>
  <c r="W16" i="4" s="1"/>
  <c r="X16" i="4" s="1"/>
  <c r="S15" i="4"/>
  <c r="R15" i="4"/>
  <c r="AE15" i="4" s="1"/>
  <c r="S14" i="4"/>
  <c r="R14" i="4"/>
  <c r="V14" i="4" s="1"/>
  <c r="W14" i="4" s="1"/>
  <c r="X14" i="4" s="1"/>
  <c r="S13" i="4"/>
  <c r="R13" i="4"/>
  <c r="AE13" i="4" s="1"/>
  <c r="S12" i="4"/>
  <c r="R12" i="4"/>
  <c r="V12" i="4" s="1"/>
  <c r="W12" i="4" s="1"/>
  <c r="X12" i="4" s="1"/>
  <c r="S11" i="4"/>
  <c r="R11" i="4"/>
  <c r="AE11" i="4" s="1"/>
  <c r="S10" i="4"/>
  <c r="R10" i="4"/>
  <c r="V10" i="4" s="1"/>
  <c r="W10" i="4" s="1"/>
  <c r="X10" i="4" s="1"/>
  <c r="S9" i="4"/>
  <c r="R9" i="4"/>
  <c r="AE9" i="4" s="1"/>
  <c r="S8" i="4"/>
  <c r="R8" i="4"/>
  <c r="V8" i="4" s="1"/>
  <c r="W8" i="4" s="1"/>
  <c r="X8" i="4" s="1"/>
  <c r="S7" i="4"/>
  <c r="R7" i="4"/>
  <c r="AE7" i="4" s="1"/>
  <c r="S6" i="4"/>
  <c r="R6" i="4"/>
  <c r="V6" i="4" s="1"/>
  <c r="W6" i="4" s="1"/>
  <c r="X6" i="4" s="1"/>
  <c r="S5" i="4"/>
  <c r="R5" i="4"/>
  <c r="AE5" i="4" s="1"/>
  <c r="S4" i="4"/>
  <c r="R4" i="4"/>
  <c r="V4" i="4" s="1"/>
  <c r="W4" i="4" s="1"/>
  <c r="X4" i="4" s="1"/>
  <c r="AA64" i="4" l="1"/>
  <c r="AD64" i="4" s="1"/>
  <c r="Y67" i="4"/>
  <c r="N67" i="4" s="1"/>
  <c r="Y56" i="4"/>
  <c r="N56" i="4" s="1"/>
  <c r="L56" i="4" s="1"/>
  <c r="AB69" i="4"/>
  <c r="AF69" i="4" s="1"/>
  <c r="Y66" i="4"/>
  <c r="N66" i="4" s="1"/>
  <c r="L66" i="4" s="1"/>
  <c r="AB50" i="4"/>
  <c r="AF50" i="4" s="1"/>
  <c r="AG50" i="4" s="1"/>
  <c r="AB64" i="4"/>
  <c r="AF64" i="4" s="1"/>
  <c r="AG64" i="4" s="1"/>
  <c r="AB56" i="4"/>
  <c r="AF56" i="4" s="1"/>
  <c r="O56" i="4" s="1"/>
  <c r="AB76" i="4"/>
  <c r="AF76" i="4" s="1"/>
  <c r="O76" i="4" s="1"/>
  <c r="L76" i="4" s="1"/>
  <c r="Y77" i="4"/>
  <c r="N77" i="4" s="1"/>
  <c r="L77" i="4" s="1"/>
  <c r="AB71" i="4"/>
  <c r="AF71" i="4" s="1"/>
  <c r="AG71" i="4" s="1"/>
  <c r="AB77" i="4"/>
  <c r="AF77" i="4" s="1"/>
  <c r="AG77" i="4" s="1"/>
  <c r="L49" i="4"/>
  <c r="AB67" i="4"/>
  <c r="AF67" i="4" s="1"/>
  <c r="AG67" i="4" s="1"/>
  <c r="Y51" i="4"/>
  <c r="N51" i="4" s="1"/>
  <c r="L51" i="4" s="1"/>
  <c r="AA51" i="4"/>
  <c r="AB48" i="4"/>
  <c r="AF48" i="4" s="1"/>
  <c r="O48" i="4" s="1"/>
  <c r="L48" i="4" s="1"/>
  <c r="AB80" i="4"/>
  <c r="AF80" i="4" s="1"/>
  <c r="AA73" i="4"/>
  <c r="O69" i="4"/>
  <c r="Y59" i="4"/>
  <c r="N59" i="4" s="1"/>
  <c r="AA59" i="4"/>
  <c r="AB65" i="4"/>
  <c r="AF65" i="4" s="1"/>
  <c r="O65" i="4" s="1"/>
  <c r="Y63" i="4"/>
  <c r="N63" i="4" s="1"/>
  <c r="AB58" i="4"/>
  <c r="AF58" i="4" s="1"/>
  <c r="AB47" i="4"/>
  <c r="AF47" i="4" s="1"/>
  <c r="O47" i="4" s="1"/>
  <c r="L47" i="4" s="1"/>
  <c r="AD60" i="4"/>
  <c r="AB60" i="4"/>
  <c r="AF60" i="4" s="1"/>
  <c r="AA68" i="4"/>
  <c r="Y68" i="4"/>
  <c r="N68" i="4" s="1"/>
  <c r="AA54" i="4"/>
  <c r="Y54" i="4"/>
  <c r="N54" i="4" s="1"/>
  <c r="L54" i="4" s="1"/>
  <c r="AA78" i="4"/>
  <c r="Y78" i="4"/>
  <c r="N78" i="4" s="1"/>
  <c r="O70" i="4"/>
  <c r="L70" i="4" s="1"/>
  <c r="AB63" i="4"/>
  <c r="AF63" i="4" s="1"/>
  <c r="O63" i="4" s="1"/>
  <c r="L63" i="4" s="1"/>
  <c r="AG49" i="4"/>
  <c r="O77" i="4"/>
  <c r="AB66" i="4"/>
  <c r="AF66" i="4" s="1"/>
  <c r="AG69" i="4"/>
  <c r="O75" i="4"/>
  <c r="L75" i="4" s="1"/>
  <c r="AG75" i="4"/>
  <c r="AB74" i="4"/>
  <c r="AF74" i="4" s="1"/>
  <c r="O74" i="4" s="1"/>
  <c r="L74" i="4" s="1"/>
  <c r="AD52" i="4"/>
  <c r="AB52" i="4"/>
  <c r="AF52" i="4" s="1"/>
  <c r="AB81" i="4"/>
  <c r="AF81" i="4" s="1"/>
  <c r="O81" i="4" s="1"/>
  <c r="L81" i="4" s="1"/>
  <c r="AB55" i="4"/>
  <c r="AF55" i="4" s="1"/>
  <c r="O55" i="4" s="1"/>
  <c r="AD82" i="4"/>
  <c r="AB82" i="4"/>
  <c r="AF82" i="4" s="1"/>
  <c r="AD79" i="4"/>
  <c r="AB79" i="4"/>
  <c r="AF79" i="4" s="1"/>
  <c r="AB57" i="4"/>
  <c r="AF57" i="4" s="1"/>
  <c r="O57" i="4" s="1"/>
  <c r="AA53" i="4"/>
  <c r="Y53" i="4"/>
  <c r="N53" i="4" s="1"/>
  <c r="L53" i="4" s="1"/>
  <c r="AA62" i="4"/>
  <c r="Y62" i="4"/>
  <c r="N62" i="4" s="1"/>
  <c r="L62" i="4" s="1"/>
  <c r="AA72" i="4"/>
  <c r="Y72" i="4"/>
  <c r="N72" i="4" s="1"/>
  <c r="AA61" i="4"/>
  <c r="Y61" i="4"/>
  <c r="N61" i="4" s="1"/>
  <c r="AG76" i="4"/>
  <c r="AA83" i="4"/>
  <c r="Y83" i="4"/>
  <c r="N83" i="4" s="1"/>
  <c r="O71" i="4"/>
  <c r="AG56" i="4"/>
  <c r="V31" i="4"/>
  <c r="W31" i="4" s="1"/>
  <c r="X31" i="4" s="1"/>
  <c r="Y31" i="4" s="1"/>
  <c r="N31" i="4" s="1"/>
  <c r="V43" i="4"/>
  <c r="W43" i="4" s="1"/>
  <c r="X43" i="4" s="1"/>
  <c r="AA43" i="4" s="1"/>
  <c r="V39" i="4"/>
  <c r="W39" i="4" s="1"/>
  <c r="X39" i="4" s="1"/>
  <c r="Y39" i="4" s="1"/>
  <c r="N39" i="4" s="1"/>
  <c r="V19" i="4"/>
  <c r="W19" i="4" s="1"/>
  <c r="X19" i="4" s="1"/>
  <c r="Y19" i="4" s="1"/>
  <c r="N19" i="4" s="1"/>
  <c r="V23" i="4"/>
  <c r="W23" i="4" s="1"/>
  <c r="X23" i="4" s="1"/>
  <c r="AA23" i="4" s="1"/>
  <c r="V11" i="4"/>
  <c r="W11" i="4" s="1"/>
  <c r="X11" i="4" s="1"/>
  <c r="Y11" i="4" s="1"/>
  <c r="N11" i="4" s="1"/>
  <c r="V27" i="4"/>
  <c r="W27" i="4" s="1"/>
  <c r="X27" i="4" s="1"/>
  <c r="Y27" i="4" s="1"/>
  <c r="N27" i="4" s="1"/>
  <c r="V15" i="4"/>
  <c r="W15" i="4" s="1"/>
  <c r="X15" i="4" s="1"/>
  <c r="Y15" i="4" s="1"/>
  <c r="N15" i="4" s="1"/>
  <c r="V7" i="4"/>
  <c r="W7" i="4" s="1"/>
  <c r="X7" i="4" s="1"/>
  <c r="Y7" i="4" s="1"/>
  <c r="N7" i="4" s="1"/>
  <c r="V35" i="4"/>
  <c r="W35" i="4" s="1"/>
  <c r="X35" i="4" s="1"/>
  <c r="AA35" i="4" s="1"/>
  <c r="AD35" i="4" s="1"/>
  <c r="AA10" i="4"/>
  <c r="AD10" i="4" s="1"/>
  <c r="Y10" i="4"/>
  <c r="N10" i="4" s="1"/>
  <c r="L10" i="4" s="1"/>
  <c r="AA14" i="4"/>
  <c r="AD14" i="4" s="1"/>
  <c r="Y14" i="4"/>
  <c r="N14" i="4" s="1"/>
  <c r="AA30" i="4"/>
  <c r="AD30" i="4" s="1"/>
  <c r="Y30" i="4"/>
  <c r="N30" i="4" s="1"/>
  <c r="L30" i="4" s="1"/>
  <c r="AA20" i="4"/>
  <c r="AD20" i="4" s="1"/>
  <c r="Y20" i="4"/>
  <c r="N20" i="4" s="1"/>
  <c r="L20" i="4" s="1"/>
  <c r="AA34" i="4"/>
  <c r="AD34" i="4" s="1"/>
  <c r="Y34" i="4"/>
  <c r="N34" i="4" s="1"/>
  <c r="AA18" i="4"/>
  <c r="AD18" i="4" s="1"/>
  <c r="Y18" i="4"/>
  <c r="N18" i="4" s="1"/>
  <c r="AA38" i="4"/>
  <c r="AD38" i="4" s="1"/>
  <c r="Y38" i="4"/>
  <c r="N38" i="4" s="1"/>
  <c r="AA16" i="4"/>
  <c r="AD16" i="4" s="1"/>
  <c r="Y16" i="4"/>
  <c r="N16" i="4" s="1"/>
  <c r="AA8" i="4"/>
  <c r="AD8" i="4" s="1"/>
  <c r="Y8" i="4"/>
  <c r="N8" i="4" s="1"/>
  <c r="AA24" i="4"/>
  <c r="AD24" i="4" s="1"/>
  <c r="Y24" i="4"/>
  <c r="N24" i="4" s="1"/>
  <c r="AA42" i="4"/>
  <c r="AD42" i="4" s="1"/>
  <c r="Y42" i="4"/>
  <c r="N42" i="4" s="1"/>
  <c r="AA6" i="4"/>
  <c r="AD6" i="4" s="1"/>
  <c r="Y6" i="4"/>
  <c r="N6" i="4" s="1"/>
  <c r="AA22" i="4"/>
  <c r="AD22" i="4" s="1"/>
  <c r="Y22" i="4"/>
  <c r="N22" i="4" s="1"/>
  <c r="AA46" i="4"/>
  <c r="AD46" i="4" s="1"/>
  <c r="Y46" i="4"/>
  <c r="N46" i="4" s="1"/>
  <c r="L46" i="4" s="1"/>
  <c r="AA26" i="4"/>
  <c r="AD26" i="4" s="1"/>
  <c r="Y26" i="4"/>
  <c r="N26" i="4" s="1"/>
  <c r="AA12" i="4"/>
  <c r="AD12" i="4" s="1"/>
  <c r="Y12" i="4"/>
  <c r="N12" i="4" s="1"/>
  <c r="AA28" i="4"/>
  <c r="AD28" i="4" s="1"/>
  <c r="Y28" i="4"/>
  <c r="N28" i="4" s="1"/>
  <c r="V5" i="4"/>
  <c r="W5" i="4" s="1"/>
  <c r="X5" i="4" s="1"/>
  <c r="V9" i="4"/>
  <c r="W9" i="4" s="1"/>
  <c r="X9" i="4" s="1"/>
  <c r="V13" i="4"/>
  <c r="W13" i="4" s="1"/>
  <c r="X13" i="4" s="1"/>
  <c r="V17" i="4"/>
  <c r="W17" i="4" s="1"/>
  <c r="X17" i="4" s="1"/>
  <c r="V21" i="4"/>
  <c r="W21" i="4" s="1"/>
  <c r="X21" i="4" s="1"/>
  <c r="V25" i="4"/>
  <c r="W25" i="4" s="1"/>
  <c r="X25" i="4" s="1"/>
  <c r="V29" i="4"/>
  <c r="W29" i="4" s="1"/>
  <c r="X29" i="4" s="1"/>
  <c r="V33" i="4"/>
  <c r="W33" i="4" s="1"/>
  <c r="X33" i="4" s="1"/>
  <c r="V37" i="4"/>
  <c r="W37" i="4" s="1"/>
  <c r="X37" i="4" s="1"/>
  <c r="V41" i="4"/>
  <c r="W41" i="4" s="1"/>
  <c r="X41" i="4" s="1"/>
  <c r="V45" i="4"/>
  <c r="W45" i="4" s="1"/>
  <c r="X45" i="4" s="1"/>
  <c r="AE8" i="4"/>
  <c r="AE12" i="4"/>
  <c r="AE16" i="4"/>
  <c r="AE20" i="4"/>
  <c r="AE24" i="4"/>
  <c r="AE28" i="4"/>
  <c r="AE32" i="4"/>
  <c r="AE36" i="4"/>
  <c r="AE40" i="4"/>
  <c r="AE44" i="4"/>
  <c r="V32" i="4"/>
  <c r="W32" i="4" s="1"/>
  <c r="X32" i="4" s="1"/>
  <c r="V36" i="4"/>
  <c r="W36" i="4" s="1"/>
  <c r="X36" i="4" s="1"/>
  <c r="V40" i="4"/>
  <c r="W40" i="4" s="1"/>
  <c r="X40" i="4" s="1"/>
  <c r="V44" i="4"/>
  <c r="W44" i="4" s="1"/>
  <c r="X44" i="4" s="1"/>
  <c r="AB30" i="4"/>
  <c r="AF30" i="4" s="1"/>
  <c r="AE6" i="4"/>
  <c r="AE10" i="4"/>
  <c r="AE14" i="4"/>
  <c r="AE18" i="4"/>
  <c r="AE22" i="4"/>
  <c r="AE26" i="4"/>
  <c r="AE30" i="4"/>
  <c r="AE34" i="4"/>
  <c r="AE38" i="4"/>
  <c r="AE42" i="4"/>
  <c r="AE46" i="4"/>
  <c r="AA4" i="4"/>
  <c r="AD4" i="4" s="1"/>
  <c r="Y4" i="4"/>
  <c r="N4" i="4" s="1"/>
  <c r="AE4" i="4"/>
  <c r="O50" i="4" l="1"/>
  <c r="L50" i="4" s="1"/>
  <c r="O64" i="4"/>
  <c r="AB42" i="4"/>
  <c r="AF42" i="4" s="1"/>
  <c r="AA31" i="4"/>
  <c r="AD31" i="4" s="1"/>
  <c r="AA7" i="4"/>
  <c r="AD7" i="4" s="1"/>
  <c r="AG47" i="4"/>
  <c r="AG63" i="4"/>
  <c r="AD59" i="4"/>
  <c r="AB59" i="4"/>
  <c r="AF59" i="4" s="1"/>
  <c r="AD51" i="4"/>
  <c r="AB51" i="4"/>
  <c r="AF51" i="4" s="1"/>
  <c r="AG65" i="4"/>
  <c r="AG48" i="4"/>
  <c r="AG57" i="4"/>
  <c r="O67" i="4"/>
  <c r="L67" i="4" s="1"/>
  <c r="AG81" i="4"/>
  <c r="AD73" i="4"/>
  <c r="AB73" i="4"/>
  <c r="AF73" i="4" s="1"/>
  <c r="AG58" i="4"/>
  <c r="O58" i="4"/>
  <c r="L58" i="4" s="1"/>
  <c r="AG80" i="4"/>
  <c r="O80" i="4"/>
  <c r="L80" i="4" s="1"/>
  <c r="AD72" i="4"/>
  <c r="AB72" i="4"/>
  <c r="AF72" i="4" s="1"/>
  <c r="AG74" i="4"/>
  <c r="AD54" i="4"/>
  <c r="AB54" i="4"/>
  <c r="AF54" i="4" s="1"/>
  <c r="AG60" i="4"/>
  <c r="O60" i="4"/>
  <c r="L60" i="4" s="1"/>
  <c r="AD83" i="4"/>
  <c r="AB83" i="4"/>
  <c r="AF83" i="4" s="1"/>
  <c r="AG55" i="4"/>
  <c r="AG52" i="4"/>
  <c r="O52" i="4"/>
  <c r="L52" i="4" s="1"/>
  <c r="O66" i="4"/>
  <c r="AG66" i="4"/>
  <c r="AD68" i="4"/>
  <c r="AB68" i="4"/>
  <c r="AF68" i="4" s="1"/>
  <c r="AD53" i="4"/>
  <c r="AB53" i="4"/>
  <c r="AF53" i="4" s="1"/>
  <c r="AD78" i="4"/>
  <c r="AB78" i="4"/>
  <c r="AF78" i="4" s="1"/>
  <c r="AD62" i="4"/>
  <c r="AB62" i="4"/>
  <c r="AF62" i="4" s="1"/>
  <c r="AG79" i="4"/>
  <c r="O79" i="4"/>
  <c r="L79" i="4" s="1"/>
  <c r="AD61" i="4"/>
  <c r="AB61" i="4"/>
  <c r="AF61" i="4" s="1"/>
  <c r="AG82" i="4"/>
  <c r="O82" i="4"/>
  <c r="L82" i="4" s="1"/>
  <c r="AA19" i="4"/>
  <c r="AD19" i="4" s="1"/>
  <c r="AB7" i="4"/>
  <c r="AF7" i="4" s="1"/>
  <c r="O7" i="4" s="1"/>
  <c r="L7" i="4" s="1"/>
  <c r="Y43" i="4"/>
  <c r="N43" i="4" s="1"/>
  <c r="AB31" i="4"/>
  <c r="AF31" i="4" s="1"/>
  <c r="AG31" i="4" s="1"/>
  <c r="Y35" i="4"/>
  <c r="N35" i="4" s="1"/>
  <c r="AB34" i="4"/>
  <c r="AF34" i="4" s="1"/>
  <c r="O34" i="4" s="1"/>
  <c r="L34" i="4" s="1"/>
  <c r="Y23" i="4"/>
  <c r="N23" i="4" s="1"/>
  <c r="AA15" i="4"/>
  <c r="AD15" i="4" s="1"/>
  <c r="AB20" i="4"/>
  <c r="AF20" i="4" s="1"/>
  <c r="O20" i="4" s="1"/>
  <c r="AD43" i="4"/>
  <c r="AB43" i="4"/>
  <c r="AF43" i="4" s="1"/>
  <c r="AB22" i="4"/>
  <c r="AF22" i="4" s="1"/>
  <c r="AG22" i="4" s="1"/>
  <c r="AA27" i="4"/>
  <c r="AB18" i="4"/>
  <c r="AF18" i="4" s="1"/>
  <c r="AG18" i="4" s="1"/>
  <c r="AB10" i="4"/>
  <c r="AF10" i="4" s="1"/>
  <c r="AG10" i="4" s="1"/>
  <c r="AB15" i="4"/>
  <c r="AF15" i="4" s="1"/>
  <c r="O15" i="4" s="1"/>
  <c r="L15" i="4" s="1"/>
  <c r="AA39" i="4"/>
  <c r="AA11" i="4"/>
  <c r="AB14" i="4"/>
  <c r="AF14" i="4" s="1"/>
  <c r="AG14" i="4" s="1"/>
  <c r="AD23" i="4"/>
  <c r="AB23" i="4"/>
  <c r="AF23" i="4" s="1"/>
  <c r="AB24" i="4"/>
  <c r="AF24" i="4" s="1"/>
  <c r="O24" i="4" s="1"/>
  <c r="L24" i="4" s="1"/>
  <c r="AB28" i="4"/>
  <c r="AF28" i="4" s="1"/>
  <c r="O28" i="4" s="1"/>
  <c r="L28" i="4" s="1"/>
  <c r="AB46" i="4"/>
  <c r="AF46" i="4" s="1"/>
  <c r="O46" i="4" s="1"/>
  <c r="AB6" i="4"/>
  <c r="AF6" i="4" s="1"/>
  <c r="O6" i="4" s="1"/>
  <c r="L6" i="4" s="1"/>
  <c r="AB12" i="4"/>
  <c r="AF12" i="4" s="1"/>
  <c r="AG12" i="4" s="1"/>
  <c r="AB38" i="4"/>
  <c r="AF38" i="4" s="1"/>
  <c r="O38" i="4" s="1"/>
  <c r="L38" i="4" s="1"/>
  <c r="AB26" i="4"/>
  <c r="AF26" i="4" s="1"/>
  <c r="AG26" i="4" s="1"/>
  <c r="AA29" i="4"/>
  <c r="Y29" i="4"/>
  <c r="N29" i="4" s="1"/>
  <c r="L29" i="4" s="1"/>
  <c r="AA40" i="4"/>
  <c r="Y40" i="4"/>
  <c r="N40" i="4" s="1"/>
  <c r="L40" i="4" s="1"/>
  <c r="AA45" i="4"/>
  <c r="Y45" i="4"/>
  <c r="N45" i="4" s="1"/>
  <c r="AA25" i="4"/>
  <c r="Y25" i="4"/>
  <c r="N25" i="4" s="1"/>
  <c r="AA9" i="4"/>
  <c r="Y9" i="4"/>
  <c r="N9" i="4" s="1"/>
  <c r="AB8" i="4"/>
  <c r="AF8" i="4" s="1"/>
  <c r="O8" i="4" s="1"/>
  <c r="L8" i="4" s="1"/>
  <c r="AA44" i="4"/>
  <c r="Y44" i="4"/>
  <c r="N44" i="4" s="1"/>
  <c r="AA13" i="4"/>
  <c r="Y13" i="4"/>
  <c r="N13" i="4" s="1"/>
  <c r="AB35" i="4"/>
  <c r="AF35" i="4" s="1"/>
  <c r="AG35" i="4" s="1"/>
  <c r="AA41" i="4"/>
  <c r="Y41" i="4"/>
  <c r="N41" i="4" s="1"/>
  <c r="AG42" i="4"/>
  <c r="O42" i="4"/>
  <c r="L42" i="4" s="1"/>
  <c r="AA36" i="4"/>
  <c r="Y36" i="4"/>
  <c r="N36" i="4" s="1"/>
  <c r="L36" i="4" s="1"/>
  <c r="AA37" i="4"/>
  <c r="Y37" i="4"/>
  <c r="N37" i="4" s="1"/>
  <c r="AA21" i="4"/>
  <c r="Y21" i="4"/>
  <c r="N21" i="4" s="1"/>
  <c r="L21" i="4" s="1"/>
  <c r="AA5" i="4"/>
  <c r="Y5" i="4"/>
  <c r="N5" i="4" s="1"/>
  <c r="AB16" i="4"/>
  <c r="AF16" i="4" s="1"/>
  <c r="O16" i="4" s="1"/>
  <c r="L16" i="4" s="1"/>
  <c r="AG30" i="4"/>
  <c r="O30" i="4"/>
  <c r="AA32" i="4"/>
  <c r="Y32" i="4"/>
  <c r="N32" i="4" s="1"/>
  <c r="AA33" i="4"/>
  <c r="Y33" i="4"/>
  <c r="N33" i="4" s="1"/>
  <c r="L33" i="4" s="1"/>
  <c r="AA17" i="4"/>
  <c r="Y17" i="4"/>
  <c r="N17" i="4" s="1"/>
  <c r="L17" i="4" s="1"/>
  <c r="AB4" i="4"/>
  <c r="AF4" i="4" s="1"/>
  <c r="AG4" i="4" s="1"/>
  <c r="O73" i="4" l="1"/>
  <c r="L73" i="4" s="1"/>
  <c r="AG59" i="4"/>
  <c r="O31" i="4"/>
  <c r="L31" i="4" s="1"/>
  <c r="AG73" i="4"/>
  <c r="AG51" i="4"/>
  <c r="O51" i="4"/>
  <c r="AB19" i="4"/>
  <c r="AF19" i="4" s="1"/>
  <c r="AG19" i="4" s="1"/>
  <c r="AG7" i="4"/>
  <c r="O59" i="4"/>
  <c r="L59" i="4" s="1"/>
  <c r="AG68" i="4"/>
  <c r="O68" i="4"/>
  <c r="L68" i="4" s="1"/>
  <c r="AG61" i="4"/>
  <c r="O61" i="4"/>
  <c r="L61" i="4" s="1"/>
  <c r="O62" i="4"/>
  <c r="AG62" i="4"/>
  <c r="O53" i="4"/>
  <c r="AG53" i="4"/>
  <c r="AG83" i="4"/>
  <c r="O83" i="4"/>
  <c r="L83" i="4" s="1"/>
  <c r="AG54" i="4"/>
  <c r="O54" i="4"/>
  <c r="O78" i="4"/>
  <c r="L78" i="4" s="1"/>
  <c r="AG78" i="4"/>
  <c r="O72" i="4"/>
  <c r="L72" i="4" s="1"/>
  <c r="AG72" i="4"/>
  <c r="AG34" i="4"/>
  <c r="AG20" i="4"/>
  <c r="O19" i="4"/>
  <c r="L19" i="4" s="1"/>
  <c r="AG43" i="4"/>
  <c r="O12" i="4"/>
  <c r="L12" i="4" s="1"/>
  <c r="AG16" i="4"/>
  <c r="O14" i="4"/>
  <c r="L14" i="4" s="1"/>
  <c r="AG24" i="4"/>
  <c r="O18" i="4"/>
  <c r="L18" i="4" s="1"/>
  <c r="O22" i="4"/>
  <c r="L22" i="4" s="1"/>
  <c r="O26" i="4"/>
  <c r="L26" i="4" s="1"/>
  <c r="AG8" i="4"/>
  <c r="O43" i="4"/>
  <c r="L43" i="4" s="1"/>
  <c r="AD11" i="4"/>
  <c r="AB11" i="4"/>
  <c r="AF11" i="4" s="1"/>
  <c r="AG38" i="4"/>
  <c r="AD39" i="4"/>
  <c r="AB39" i="4"/>
  <c r="AF39" i="4" s="1"/>
  <c r="AG28" i="4"/>
  <c r="O10" i="4"/>
  <c r="AG15" i="4"/>
  <c r="O23" i="4"/>
  <c r="L23" i="4" s="1"/>
  <c r="AD27" i="4"/>
  <c r="AB27" i="4"/>
  <c r="AF27" i="4" s="1"/>
  <c r="AG6" i="4"/>
  <c r="AG46" i="4"/>
  <c r="AG23" i="4"/>
  <c r="AD44" i="4"/>
  <c r="AB44" i="4"/>
  <c r="AF44" i="4" s="1"/>
  <c r="AD37" i="4"/>
  <c r="AB37" i="4"/>
  <c r="AF37" i="4" s="1"/>
  <c r="AD41" i="4"/>
  <c r="AB41" i="4"/>
  <c r="AF41" i="4" s="1"/>
  <c r="AD45" i="4"/>
  <c r="AB45" i="4"/>
  <c r="AF45" i="4" s="1"/>
  <c r="AD36" i="4"/>
  <c r="AB36" i="4"/>
  <c r="AF36" i="4" s="1"/>
  <c r="AD9" i="4"/>
  <c r="AB9" i="4"/>
  <c r="AF9" i="4" s="1"/>
  <c r="AD17" i="4"/>
  <c r="AB17" i="4"/>
  <c r="AF17" i="4" s="1"/>
  <c r="AD13" i="4"/>
  <c r="AB13" i="4"/>
  <c r="AF13" i="4" s="1"/>
  <c r="AD21" i="4"/>
  <c r="AB21" i="4"/>
  <c r="AF21" i="4" s="1"/>
  <c r="O35" i="4"/>
  <c r="L35" i="4" s="1"/>
  <c r="AD5" i="4"/>
  <c r="AB5" i="4"/>
  <c r="AF5" i="4" s="1"/>
  <c r="AD25" i="4"/>
  <c r="AB25" i="4"/>
  <c r="AF25" i="4" s="1"/>
  <c r="AD40" i="4"/>
  <c r="AB40" i="4"/>
  <c r="AF40" i="4" s="1"/>
  <c r="AD29" i="4"/>
  <c r="AB29" i="4"/>
  <c r="AF29" i="4" s="1"/>
  <c r="AD33" i="4"/>
  <c r="AB33" i="4"/>
  <c r="AF33" i="4" s="1"/>
  <c r="AD32" i="4"/>
  <c r="AB32" i="4"/>
  <c r="AF32" i="4" s="1"/>
  <c r="O4" i="4"/>
  <c r="L4" i="4" s="1"/>
  <c r="AG39" i="4" l="1"/>
  <c r="AG27" i="4"/>
  <c r="O11" i="4"/>
  <c r="L11" i="4" s="1"/>
  <c r="O39" i="4"/>
  <c r="L39" i="4" s="1"/>
  <c r="O27" i="4"/>
  <c r="L27" i="4" s="1"/>
  <c r="AG11" i="4"/>
  <c r="AG40" i="4"/>
  <c r="O40" i="4"/>
  <c r="O13" i="4"/>
  <c r="L13" i="4" s="1"/>
  <c r="AG13" i="4"/>
  <c r="AG45" i="4"/>
  <c r="O45" i="4"/>
  <c r="L45" i="4" s="1"/>
  <c r="O32" i="4"/>
  <c r="L32" i="4" s="1"/>
  <c r="AG32" i="4"/>
  <c r="O25" i="4"/>
  <c r="L25" i="4" s="1"/>
  <c r="AG25" i="4"/>
  <c r="O17" i="4"/>
  <c r="AG17" i="4"/>
  <c r="O41" i="4"/>
  <c r="L41" i="4" s="1"/>
  <c r="AG41" i="4"/>
  <c r="O33" i="4"/>
  <c r="AG33" i="4"/>
  <c r="AG5" i="4"/>
  <c r="O5" i="4"/>
  <c r="L5" i="4" s="1"/>
  <c r="O9" i="4"/>
  <c r="L9" i="4" s="1"/>
  <c r="AG9" i="4"/>
  <c r="AG37" i="4"/>
  <c r="O37" i="4"/>
  <c r="L37" i="4" s="1"/>
  <c r="O29" i="4"/>
  <c r="AG29" i="4"/>
  <c r="AG21" i="4"/>
  <c r="O21" i="4"/>
  <c r="O36" i="4"/>
  <c r="AG36" i="4"/>
  <c r="O44" i="4"/>
  <c r="L44" i="4" s="1"/>
  <c r="AG44" i="4"/>
  <c r="I4" i="2" l="1"/>
  <c r="G4" i="2"/>
  <c r="I3" i="2"/>
  <c r="G3" i="2"/>
  <c r="I2" i="2"/>
  <c r="G2" i="2"/>
  <c r="I72" i="2" l="1"/>
  <c r="I35" i="2"/>
  <c r="I25" i="2"/>
  <c r="I83" i="2"/>
  <c r="I16" i="2"/>
  <c r="I49" i="2"/>
  <c r="I76" i="2"/>
  <c r="I73" i="2"/>
  <c r="I71" i="2"/>
  <c r="I36" i="2"/>
  <c r="I74" i="2"/>
  <c r="I85" i="2"/>
  <c r="I66" i="2"/>
  <c r="I17" i="2"/>
  <c r="I81" i="2"/>
  <c r="I84" i="2"/>
  <c r="I75" i="2"/>
  <c r="I22" i="2"/>
  <c r="I65" i="2"/>
  <c r="I62" i="2"/>
  <c r="I53" i="2"/>
  <c r="I51" i="2"/>
  <c r="I79" i="2"/>
  <c r="I38" i="2"/>
  <c r="I50" i="2"/>
  <c r="I39" i="2"/>
  <c r="I89" i="2"/>
  <c r="I20" i="2"/>
  <c r="I57" i="2"/>
  <c r="I77" i="2"/>
  <c r="I37" i="2"/>
  <c r="I27" i="2"/>
  <c r="I63" i="2"/>
  <c r="I31" i="2"/>
  <c r="I33" i="2"/>
  <c r="I54" i="2"/>
  <c r="I43" i="2"/>
  <c r="I67" i="2"/>
  <c r="I23" i="2"/>
  <c r="I40" i="2"/>
  <c r="I61" i="2"/>
  <c r="I80" i="2"/>
  <c r="I58" i="2"/>
  <c r="I68" i="2"/>
  <c r="I24" i="2"/>
  <c r="I44" i="2"/>
  <c r="I15" i="2"/>
  <c r="I69" i="2"/>
  <c r="I78" i="2"/>
  <c r="I82" i="2"/>
  <c r="I29" i="2"/>
  <c r="I52" i="2"/>
  <c r="I56" i="2"/>
  <c r="I59" i="2"/>
  <c r="I45" i="2"/>
  <c r="I41" i="2"/>
  <c r="I60" i="2"/>
  <c r="I42" i="2"/>
  <c r="I14" i="2"/>
  <c r="I48" i="2"/>
  <c r="I90" i="2"/>
  <c r="I12" i="2"/>
  <c r="I30" i="2"/>
  <c r="I87" i="2"/>
  <c r="I13" i="2"/>
  <c r="I18" i="2"/>
  <c r="I21" i="2"/>
  <c r="I88" i="2"/>
  <c r="I26" i="2"/>
  <c r="I32" i="2"/>
  <c r="I91" i="2"/>
  <c r="I70" i="2"/>
  <c r="I28" i="2"/>
  <c r="I86" i="2"/>
  <c r="I19" i="2"/>
  <c r="I47" i="2"/>
  <c r="I46" i="2"/>
  <c r="I64" i="2"/>
  <c r="I55" i="2"/>
  <c r="I34" i="2"/>
  <c r="P49" i="2"/>
  <c r="P25" i="2"/>
  <c r="P83" i="2"/>
  <c r="P75" i="2"/>
  <c r="P22" i="2"/>
  <c r="P74" i="2"/>
  <c r="P76" i="2"/>
  <c r="P50" i="2"/>
  <c r="P73" i="2"/>
  <c r="P36" i="2"/>
  <c r="P62" i="2"/>
  <c r="P85" i="2"/>
  <c r="P66" i="2"/>
  <c r="P51" i="2"/>
  <c r="P17" i="2"/>
  <c r="P81" i="2"/>
  <c r="P84" i="2"/>
  <c r="P65" i="2"/>
  <c r="P39" i="2"/>
  <c r="P53" i="2"/>
  <c r="P79" i="2"/>
  <c r="P38" i="2"/>
  <c r="P31" i="2"/>
  <c r="P89" i="2"/>
  <c r="P20" i="2"/>
  <c r="P57" i="2"/>
  <c r="P67" i="2"/>
  <c r="P77" i="2"/>
  <c r="P37" i="2"/>
  <c r="P27" i="2"/>
  <c r="P63" i="2"/>
  <c r="P33" i="2"/>
  <c r="P54" i="2"/>
  <c r="P23" i="2"/>
  <c r="P40" i="2"/>
  <c r="P61" i="2"/>
  <c r="P64" i="2"/>
  <c r="P78" i="2"/>
  <c r="P43" i="2"/>
  <c r="P90" i="2"/>
  <c r="P47" i="2"/>
  <c r="P80" i="2"/>
  <c r="P21" i="2"/>
  <c r="P58" i="2"/>
  <c r="P82" i="2"/>
  <c r="P41" i="2"/>
  <c r="P88" i="2"/>
  <c r="P59" i="2"/>
  <c r="P29" i="2"/>
  <c r="P68" i="2"/>
  <c r="P16" i="2"/>
  <c r="P72" i="2"/>
  <c r="P26" i="2"/>
  <c r="P30" i="2"/>
  <c r="P60" i="2"/>
  <c r="P35" i="2"/>
  <c r="P12" i="2"/>
  <c r="P87" i="2"/>
  <c r="P86" i="2"/>
  <c r="P71" i="2"/>
  <c r="P24" i="2"/>
  <c r="P28" i="2"/>
  <c r="P48" i="2"/>
  <c r="P69" i="2"/>
  <c r="P55" i="2"/>
  <c r="W76" i="2"/>
  <c r="W50" i="2"/>
  <c r="W81" i="2"/>
  <c r="W36" i="2"/>
  <c r="W62" i="2"/>
  <c r="W85" i="2"/>
  <c r="W51" i="2"/>
  <c r="W17" i="2"/>
  <c r="W84" i="2"/>
  <c r="W65" i="2"/>
  <c r="W39" i="2"/>
  <c r="W53" i="2"/>
  <c r="W89" i="2"/>
  <c r="W79" i="2"/>
  <c r="W38" i="2"/>
  <c r="W57" i="2"/>
  <c r="W77" i="2"/>
  <c r="W27" i="2"/>
  <c r="W31" i="2"/>
  <c r="W54" i="2"/>
  <c r="W40" i="2"/>
  <c r="W20" i="2"/>
  <c r="W64" i="2"/>
  <c r="W43" i="2"/>
  <c r="W90" i="2"/>
  <c r="W67" i="2"/>
  <c r="W37" i="2"/>
  <c r="W63" i="2"/>
  <c r="W33" i="2"/>
  <c r="W23" i="2"/>
  <c r="W61" i="2"/>
  <c r="W80" i="2"/>
  <c r="W78" i="2"/>
  <c r="W21" i="2"/>
  <c r="W82" i="2"/>
  <c r="W47" i="2"/>
  <c r="W83" i="2"/>
  <c r="W71" i="2"/>
  <c r="W58" i="2"/>
  <c r="W41" i="2"/>
  <c r="W88" i="2"/>
  <c r="W59" i="2"/>
  <c r="W25" i="2"/>
  <c r="W16" i="2"/>
  <c r="W72" i="2"/>
  <c r="W35" i="2"/>
  <c r="W26" i="2"/>
  <c r="W12" i="2"/>
  <c r="W30" i="2"/>
  <c r="W87" i="2"/>
  <c r="W22" i="2"/>
  <c r="W86" i="2"/>
  <c r="W49" i="2"/>
  <c r="W75" i="2"/>
  <c r="W48" i="2"/>
  <c r="W73" i="2"/>
  <c r="W66" i="2"/>
  <c r="W28" i="2"/>
  <c r="W24" i="2"/>
  <c r="W69" i="2"/>
  <c r="W55" i="2"/>
  <c r="W68" i="2"/>
  <c r="W60" i="2"/>
  <c r="W74" i="2"/>
  <c r="W29" i="2"/>
  <c r="W32" i="2"/>
  <c r="Y32" i="2" s="1"/>
  <c r="W19" i="2"/>
  <c r="Y19" i="2" s="1"/>
  <c r="W15" i="2"/>
  <c r="Y15" i="2" s="1"/>
  <c r="W14" i="2"/>
  <c r="Y14" i="2" s="1"/>
  <c r="W13" i="2"/>
  <c r="Z13" i="2" s="1"/>
  <c r="W46" i="2"/>
  <c r="Y46" i="2" s="1"/>
  <c r="W45" i="2"/>
  <c r="W70" i="2"/>
  <c r="W44" i="2"/>
  <c r="Z44" i="2" s="1"/>
  <c r="P19" i="2"/>
  <c r="R19" i="2" s="1"/>
  <c r="P15" i="2"/>
  <c r="P46" i="2"/>
  <c r="R46" i="2" s="1"/>
  <c r="P32" i="2"/>
  <c r="S32" i="2" s="1"/>
  <c r="P70" i="2"/>
  <c r="R70" i="2" s="1"/>
  <c r="P45" i="2"/>
  <c r="P14" i="2"/>
  <c r="R14" i="2" s="1"/>
  <c r="P13" i="2"/>
  <c r="R13" i="2" s="1"/>
  <c r="P44" i="2"/>
  <c r="S44" i="2" s="1"/>
  <c r="W42" i="2"/>
  <c r="P42" i="2"/>
  <c r="P34" i="2"/>
  <c r="P52" i="2"/>
  <c r="P56" i="2"/>
  <c r="P18" i="2"/>
  <c r="W34" i="2"/>
  <c r="W56" i="2"/>
  <c r="W52" i="2"/>
  <c r="W18" i="2"/>
  <c r="W91" i="2"/>
  <c r="P91" i="2"/>
  <c r="Y59" i="2" l="1"/>
  <c r="Z59" i="2"/>
  <c r="S77" i="2"/>
  <c r="R77" i="2"/>
  <c r="L41" i="2"/>
  <c r="K41" i="2"/>
  <c r="Y68" i="2"/>
  <c r="Z68" i="2"/>
  <c r="Y22" i="2"/>
  <c r="Z22" i="2"/>
  <c r="Y12" i="2"/>
  <c r="Z12" i="2"/>
  <c r="Y82" i="2"/>
  <c r="Z82" i="2"/>
  <c r="Y77" i="2"/>
  <c r="Z77" i="2"/>
  <c r="Z53" i="2"/>
  <c r="Y53" i="2"/>
  <c r="S24" i="2"/>
  <c r="R24" i="2"/>
  <c r="R26" i="2"/>
  <c r="S26" i="2"/>
  <c r="R82" i="2"/>
  <c r="S82" i="2"/>
  <c r="R38" i="2"/>
  <c r="S38" i="2"/>
  <c r="R17" i="2"/>
  <c r="S17" i="2"/>
  <c r="S75" i="2"/>
  <c r="R75" i="2"/>
  <c r="K19" i="2"/>
  <c r="L19" i="2"/>
  <c r="L90" i="2"/>
  <c r="K90" i="2"/>
  <c r="K78" i="2"/>
  <c r="L78" i="2"/>
  <c r="K61" i="2"/>
  <c r="L61" i="2"/>
  <c r="K77" i="2"/>
  <c r="L77" i="2"/>
  <c r="K39" i="2"/>
  <c r="L39" i="2"/>
  <c r="K51" i="2"/>
  <c r="L51" i="2"/>
  <c r="L65" i="2"/>
  <c r="K65" i="2"/>
  <c r="K73" i="2"/>
  <c r="L73" i="2"/>
  <c r="S68" i="2"/>
  <c r="R68" i="2"/>
  <c r="S85" i="2"/>
  <c r="R85" i="2"/>
  <c r="Y73" i="2"/>
  <c r="Z73" i="2"/>
  <c r="Z88" i="2"/>
  <c r="Y88" i="2"/>
  <c r="Y50" i="2"/>
  <c r="Z50" i="2"/>
  <c r="S59" i="2"/>
  <c r="R59" i="2"/>
  <c r="R58" i="2"/>
  <c r="S58" i="2"/>
  <c r="R54" i="2"/>
  <c r="S54" i="2"/>
  <c r="S67" i="2"/>
  <c r="R67" i="2"/>
  <c r="R79" i="2"/>
  <c r="S79" i="2"/>
  <c r="L34" i="2"/>
  <c r="K34" i="2"/>
  <c r="L48" i="2"/>
  <c r="K48" i="2"/>
  <c r="L40" i="2"/>
  <c r="K40" i="2"/>
  <c r="L67" i="2"/>
  <c r="K67" i="2"/>
  <c r="L54" i="2"/>
  <c r="K54" i="2"/>
  <c r="L57" i="2"/>
  <c r="K57" i="2"/>
  <c r="L22" i="2"/>
  <c r="K22" i="2"/>
  <c r="K17" i="2"/>
  <c r="L17" i="2"/>
  <c r="L36" i="2"/>
  <c r="K36" i="2"/>
  <c r="L76" i="2"/>
  <c r="K76" i="2"/>
  <c r="L16" i="2"/>
  <c r="K16" i="2"/>
  <c r="Y24" i="2"/>
  <c r="Z24" i="2"/>
  <c r="Z23" i="2"/>
  <c r="Y23" i="2"/>
  <c r="R41" i="2"/>
  <c r="S41" i="2"/>
  <c r="L32" i="2"/>
  <c r="K32" i="2"/>
  <c r="K82" i="2"/>
  <c r="L82" i="2"/>
  <c r="Y29" i="2"/>
  <c r="Z29" i="2"/>
  <c r="Z87" i="2"/>
  <c r="Y87" i="2"/>
  <c r="Z26" i="2"/>
  <c r="Y26" i="2"/>
  <c r="Z72" i="2"/>
  <c r="Y72" i="2"/>
  <c r="Y33" i="2"/>
  <c r="Z33" i="2"/>
  <c r="Z67" i="2"/>
  <c r="Y67" i="2"/>
  <c r="Y20" i="2"/>
  <c r="Z20" i="2"/>
  <c r="Z54" i="2"/>
  <c r="Y54" i="2"/>
  <c r="Y57" i="2"/>
  <c r="Z57" i="2"/>
  <c r="Y17" i="2"/>
  <c r="Z17" i="2"/>
  <c r="S69" i="2"/>
  <c r="R69" i="2"/>
  <c r="R60" i="2"/>
  <c r="S60" i="2"/>
  <c r="R21" i="2"/>
  <c r="S21" i="2"/>
  <c r="R33" i="2"/>
  <c r="S33" i="2"/>
  <c r="S57" i="2"/>
  <c r="R57" i="2"/>
  <c r="R65" i="2"/>
  <c r="S65" i="2"/>
  <c r="S51" i="2"/>
  <c r="R51" i="2"/>
  <c r="R73" i="2"/>
  <c r="S73" i="2"/>
  <c r="S83" i="2"/>
  <c r="R83" i="2"/>
  <c r="K86" i="2"/>
  <c r="L86" i="2"/>
  <c r="L28" i="2"/>
  <c r="K28" i="2"/>
  <c r="K12" i="2"/>
  <c r="L12" i="2"/>
  <c r="K45" i="2"/>
  <c r="L45" i="2"/>
  <c r="L69" i="2"/>
  <c r="K69" i="2"/>
  <c r="L23" i="2"/>
  <c r="K23" i="2"/>
  <c r="K33" i="2"/>
  <c r="L33" i="2"/>
  <c r="L53" i="2"/>
  <c r="K53" i="2"/>
  <c r="L75" i="2"/>
  <c r="K75" i="2"/>
  <c r="K83" i="2"/>
  <c r="L83" i="2"/>
  <c r="K35" i="2"/>
  <c r="L35" i="2"/>
  <c r="Z60" i="2"/>
  <c r="Y60" i="2"/>
  <c r="Y81" i="2"/>
  <c r="Z81" i="2"/>
  <c r="S35" i="2"/>
  <c r="R35" i="2"/>
  <c r="R39" i="2"/>
  <c r="S39" i="2"/>
  <c r="L60" i="2"/>
  <c r="K60" i="2"/>
  <c r="Z55" i="2"/>
  <c r="Y55" i="2"/>
  <c r="Y75" i="2"/>
  <c r="Z75" i="2"/>
  <c r="Y71" i="2"/>
  <c r="Z71" i="2"/>
  <c r="Y40" i="2"/>
  <c r="Z40" i="2"/>
  <c r="Y39" i="2"/>
  <c r="Z39" i="2"/>
  <c r="Y51" i="2"/>
  <c r="Z51" i="2"/>
  <c r="Y62" i="2"/>
  <c r="Z62" i="2"/>
  <c r="Z76" i="2"/>
  <c r="Y76" i="2"/>
  <c r="R28" i="2"/>
  <c r="S28" i="2"/>
  <c r="S12" i="2"/>
  <c r="R12" i="2"/>
  <c r="R88" i="2"/>
  <c r="S88" i="2"/>
  <c r="S80" i="2"/>
  <c r="R80" i="2"/>
  <c r="R90" i="2"/>
  <c r="S90" i="2"/>
  <c r="S61" i="2"/>
  <c r="R61" i="2"/>
  <c r="S63" i="2"/>
  <c r="R63" i="2"/>
  <c r="S50" i="2"/>
  <c r="R50" i="2"/>
  <c r="S74" i="2"/>
  <c r="R74" i="2"/>
  <c r="R25" i="2"/>
  <c r="S25" i="2"/>
  <c r="K64" i="2"/>
  <c r="L64" i="2"/>
  <c r="L18" i="2"/>
  <c r="K18" i="2"/>
  <c r="K14" i="2"/>
  <c r="L14" i="2"/>
  <c r="L59" i="2"/>
  <c r="K59" i="2"/>
  <c r="K15" i="2"/>
  <c r="L15" i="2"/>
  <c r="K20" i="2"/>
  <c r="L20" i="2"/>
  <c r="L84" i="2"/>
  <c r="K84" i="2"/>
  <c r="K74" i="2"/>
  <c r="L74" i="2"/>
  <c r="L72" i="2"/>
  <c r="K72" i="2"/>
  <c r="Y66" i="2"/>
  <c r="Z66" i="2"/>
  <c r="Z47" i="2"/>
  <c r="Y47" i="2"/>
  <c r="Z84" i="2"/>
  <c r="Y84" i="2"/>
  <c r="R87" i="2"/>
  <c r="S87" i="2"/>
  <c r="L37" i="2"/>
  <c r="K37" i="2"/>
  <c r="Z49" i="2"/>
  <c r="Y49" i="2"/>
  <c r="Z30" i="2"/>
  <c r="Y30" i="2"/>
  <c r="Z16" i="2"/>
  <c r="Y16" i="2"/>
  <c r="Y41" i="2"/>
  <c r="Z41" i="2"/>
  <c r="Z83" i="2"/>
  <c r="Y83" i="2"/>
  <c r="Z63" i="2"/>
  <c r="Y63" i="2"/>
  <c r="Z90" i="2"/>
  <c r="Y90" i="2"/>
  <c r="Z31" i="2"/>
  <c r="Y31" i="2"/>
  <c r="Y38" i="2"/>
  <c r="Z38" i="2"/>
  <c r="R71" i="2"/>
  <c r="S71" i="2"/>
  <c r="S30" i="2"/>
  <c r="R30" i="2"/>
  <c r="S47" i="2"/>
  <c r="R47" i="2"/>
  <c r="S43" i="2"/>
  <c r="R43" i="2"/>
  <c r="S40" i="2"/>
  <c r="R40" i="2"/>
  <c r="S27" i="2"/>
  <c r="R27" i="2"/>
  <c r="S53" i="2"/>
  <c r="R53" i="2"/>
  <c r="R84" i="2"/>
  <c r="S84" i="2"/>
  <c r="S62" i="2"/>
  <c r="R62" i="2"/>
  <c r="L46" i="2"/>
  <c r="K46" i="2"/>
  <c r="K70" i="2"/>
  <c r="L70" i="2"/>
  <c r="L26" i="2"/>
  <c r="K26" i="2"/>
  <c r="K13" i="2"/>
  <c r="L13" i="2"/>
  <c r="L29" i="2"/>
  <c r="K29" i="2"/>
  <c r="K43" i="2"/>
  <c r="L43" i="2"/>
  <c r="L31" i="2"/>
  <c r="K31" i="2"/>
  <c r="L89" i="2"/>
  <c r="K89" i="2"/>
  <c r="L50" i="2"/>
  <c r="K50" i="2"/>
  <c r="K81" i="2"/>
  <c r="L81" i="2"/>
  <c r="K25" i="2"/>
  <c r="L25" i="2"/>
  <c r="S55" i="2"/>
  <c r="R55" i="2"/>
  <c r="Y74" i="2"/>
  <c r="Z74" i="2"/>
  <c r="Z69" i="2"/>
  <c r="Y69" i="2"/>
  <c r="Z48" i="2"/>
  <c r="Y48" i="2"/>
  <c r="Z86" i="2"/>
  <c r="Y86" i="2"/>
  <c r="Z25" i="2"/>
  <c r="Y25" i="2"/>
  <c r="Y58" i="2"/>
  <c r="Z58" i="2"/>
  <c r="Y21" i="2"/>
  <c r="Z21" i="2"/>
  <c r="Y61" i="2"/>
  <c r="Z61" i="2"/>
  <c r="Y43" i="2"/>
  <c r="Z43" i="2"/>
  <c r="Z27" i="2"/>
  <c r="Y27" i="2"/>
  <c r="Z79" i="2"/>
  <c r="Y79" i="2"/>
  <c r="Z65" i="2"/>
  <c r="Y65" i="2"/>
  <c r="Z36" i="2"/>
  <c r="Y36" i="2"/>
  <c r="R86" i="2"/>
  <c r="S86" i="2"/>
  <c r="S72" i="2"/>
  <c r="R72" i="2"/>
  <c r="S29" i="2"/>
  <c r="R29" i="2"/>
  <c r="R78" i="2"/>
  <c r="S78" i="2"/>
  <c r="S37" i="2"/>
  <c r="R37" i="2"/>
  <c r="S20" i="2"/>
  <c r="R20" i="2"/>
  <c r="R31" i="2"/>
  <c r="S31" i="2"/>
  <c r="L55" i="2"/>
  <c r="K55" i="2"/>
  <c r="K91" i="2"/>
  <c r="L91" i="2"/>
  <c r="L87" i="2"/>
  <c r="K87" i="2"/>
  <c r="L42" i="2"/>
  <c r="K42" i="2"/>
  <c r="K56" i="2"/>
  <c r="L56" i="2"/>
  <c r="K44" i="2"/>
  <c r="L44" i="2"/>
  <c r="K58" i="2"/>
  <c r="L58" i="2"/>
  <c r="K63" i="2"/>
  <c r="L63" i="2"/>
  <c r="L62" i="2"/>
  <c r="K62" i="2"/>
  <c r="K66" i="2"/>
  <c r="L66" i="2"/>
  <c r="L71" i="2"/>
  <c r="K71" i="2"/>
  <c r="L49" i="2"/>
  <c r="K49" i="2"/>
  <c r="Y80" i="2"/>
  <c r="Z80" i="2"/>
  <c r="L21" i="2"/>
  <c r="K21" i="2"/>
  <c r="K68" i="2"/>
  <c r="L68" i="2"/>
  <c r="K79" i="2"/>
  <c r="L79" i="2"/>
  <c r="Z28" i="2"/>
  <c r="Y28" i="2"/>
  <c r="Y35" i="2"/>
  <c r="Z35" i="2"/>
  <c r="Y78" i="2"/>
  <c r="Z78" i="2"/>
  <c r="Z37" i="2"/>
  <c r="Y37" i="2"/>
  <c r="Y64" i="2"/>
  <c r="Z64" i="2"/>
  <c r="Z89" i="2"/>
  <c r="Y89" i="2"/>
  <c r="Z85" i="2"/>
  <c r="Y85" i="2"/>
  <c r="R48" i="2"/>
  <c r="S48" i="2"/>
  <c r="R16" i="2"/>
  <c r="S16" i="2"/>
  <c r="S64" i="2"/>
  <c r="R64" i="2"/>
  <c r="S23" i="2"/>
  <c r="R23" i="2"/>
  <c r="R89" i="2"/>
  <c r="S89" i="2"/>
  <c r="S81" i="2"/>
  <c r="R81" i="2"/>
  <c r="R66" i="2"/>
  <c r="S66" i="2"/>
  <c r="R36" i="2"/>
  <c r="S36" i="2"/>
  <c r="S76" i="2"/>
  <c r="R76" i="2"/>
  <c r="S22" i="2"/>
  <c r="R22" i="2"/>
  <c r="R49" i="2"/>
  <c r="S49" i="2"/>
  <c r="L47" i="2"/>
  <c r="K47" i="2"/>
  <c r="L88" i="2"/>
  <c r="K88" i="2"/>
  <c r="L30" i="2"/>
  <c r="K30" i="2"/>
  <c r="K52" i="2"/>
  <c r="L52" i="2"/>
  <c r="L24" i="2"/>
  <c r="K24" i="2"/>
  <c r="K80" i="2"/>
  <c r="L80" i="2"/>
  <c r="K27" i="2"/>
  <c r="L27" i="2"/>
  <c r="K38" i="2"/>
  <c r="L38" i="2"/>
  <c r="K85" i="2"/>
  <c r="L85" i="2"/>
  <c r="S46" i="2"/>
  <c r="U46" i="2" s="1"/>
  <c r="AF46" i="2" s="1"/>
  <c r="R32" i="2"/>
  <c r="U32" i="2" s="1"/>
  <c r="AF32" i="2" s="1"/>
  <c r="Z46" i="2"/>
  <c r="AB46" i="2" s="1"/>
  <c r="AH46" i="2" s="1"/>
  <c r="AI46" i="2" s="1"/>
  <c r="S70" i="2"/>
  <c r="U70" i="2" s="1"/>
  <c r="AF70" i="2" s="1"/>
  <c r="AG70" i="2" s="1"/>
  <c r="Z15" i="2"/>
  <c r="AB15" i="2" s="1"/>
  <c r="AH15" i="2" s="1"/>
  <c r="AI15" i="2" s="1"/>
  <c r="Z19" i="2"/>
  <c r="AB19" i="2" s="1"/>
  <c r="AH19" i="2" s="1"/>
  <c r="AI19" i="2" s="1"/>
  <c r="R44" i="2"/>
  <c r="U44" i="2" s="1"/>
  <c r="AF44" i="2" s="1"/>
  <c r="AG44" i="2" s="1"/>
  <c r="S19" i="2"/>
  <c r="U19" i="2" s="1"/>
  <c r="AF19" i="2" s="1"/>
  <c r="AG19" i="2" s="1"/>
  <c r="Y44" i="2"/>
  <c r="AB44" i="2" s="1"/>
  <c r="AH44" i="2" s="1"/>
  <c r="AI44" i="2" s="1"/>
  <c r="Z14" i="2"/>
  <c r="AB14" i="2" s="1"/>
  <c r="AH14" i="2" s="1"/>
  <c r="AI14" i="2" s="1"/>
  <c r="Z32" i="2"/>
  <c r="AB32" i="2" s="1"/>
  <c r="AH32" i="2" s="1"/>
  <c r="AI32" i="2" s="1"/>
  <c r="Y13" i="2"/>
  <c r="AB13" i="2" s="1"/>
  <c r="AH13" i="2" s="1"/>
  <c r="AI13" i="2" s="1"/>
  <c r="S14" i="2"/>
  <c r="U14" i="2" s="1"/>
  <c r="AF14" i="2" s="1"/>
  <c r="AG14" i="2" s="1"/>
  <c r="S13" i="2"/>
  <c r="U13" i="2" s="1"/>
  <c r="AF13" i="2" s="1"/>
  <c r="AG13" i="2" s="1"/>
  <c r="Y45" i="2"/>
  <c r="Z45" i="2"/>
  <c r="Y70" i="2"/>
  <c r="Z70" i="2"/>
  <c r="R45" i="2"/>
  <c r="S45" i="2"/>
  <c r="R15" i="2"/>
  <c r="S15" i="2"/>
  <c r="Z42" i="2"/>
  <c r="Y42" i="2"/>
  <c r="R42" i="2"/>
  <c r="S42" i="2"/>
  <c r="R34" i="2"/>
  <c r="S34" i="2"/>
  <c r="S18" i="2"/>
  <c r="R18" i="2"/>
  <c r="R52" i="2"/>
  <c r="S52" i="2"/>
  <c r="Y18" i="2"/>
  <c r="Z18" i="2"/>
  <c r="Y34" i="2"/>
  <c r="Z34" i="2"/>
  <c r="S56" i="2"/>
  <c r="R56" i="2"/>
  <c r="Z52" i="2"/>
  <c r="Y52" i="2"/>
  <c r="Z56" i="2"/>
  <c r="Y56" i="2"/>
  <c r="S91" i="2"/>
  <c r="R91" i="2"/>
  <c r="Z91" i="2"/>
  <c r="Y91" i="2"/>
  <c r="U81" i="2" l="1"/>
  <c r="AF81" i="2" s="1"/>
  <c r="AG81" i="2" s="1"/>
  <c r="N27" i="2"/>
  <c r="AD27" i="2" s="1"/>
  <c r="AE27" i="2" s="1"/>
  <c r="N88" i="2"/>
  <c r="AD88" i="2" s="1"/>
  <c r="AE88" i="2" s="1"/>
  <c r="N71" i="2"/>
  <c r="AD71" i="2" s="1"/>
  <c r="AE71" i="2" s="1"/>
  <c r="N62" i="2"/>
  <c r="AD62" i="2" s="1"/>
  <c r="AE62" i="2" s="1"/>
  <c r="N44" i="2"/>
  <c r="AD44" i="2" s="1"/>
  <c r="AE44" i="2" s="1"/>
  <c r="N55" i="2"/>
  <c r="AD55" i="2" s="1"/>
  <c r="AE55" i="2" s="1"/>
  <c r="N89" i="2"/>
  <c r="AD89" i="2" s="1"/>
  <c r="AE89" i="2" s="1"/>
  <c r="N15" i="2"/>
  <c r="AD15" i="2" s="1"/>
  <c r="AE15" i="2" s="1"/>
  <c r="N14" i="2"/>
  <c r="AD14" i="2" s="1"/>
  <c r="AL14" i="2" s="1"/>
  <c r="AM14" i="2" s="1"/>
  <c r="N23" i="2"/>
  <c r="AD23" i="2" s="1"/>
  <c r="AE23" i="2" s="1"/>
  <c r="N45" i="2"/>
  <c r="AD45" i="2" s="1"/>
  <c r="AE45" i="2" s="1"/>
  <c r="N36" i="2"/>
  <c r="AD36" i="2" s="1"/>
  <c r="AE36" i="2" s="1"/>
  <c r="N48" i="2"/>
  <c r="AD48" i="2" s="1"/>
  <c r="AE48" i="2" s="1"/>
  <c r="U50" i="2"/>
  <c r="AF50" i="2" s="1"/>
  <c r="AG50" i="2" s="1"/>
  <c r="U61" i="2"/>
  <c r="AF61" i="2" s="1"/>
  <c r="AG61" i="2" s="1"/>
  <c r="U51" i="2"/>
  <c r="AF51" i="2" s="1"/>
  <c r="AG51" i="2" s="1"/>
  <c r="U57" i="2"/>
  <c r="AF57" i="2" s="1"/>
  <c r="AG57" i="2" s="1"/>
  <c r="U79" i="2"/>
  <c r="AF79" i="2" s="1"/>
  <c r="AG79" i="2" s="1"/>
  <c r="U58" i="2"/>
  <c r="AF58" i="2" s="1"/>
  <c r="AG58" i="2" s="1"/>
  <c r="U26" i="2"/>
  <c r="AF26" i="2" s="1"/>
  <c r="AG26" i="2" s="1"/>
  <c r="U24" i="2"/>
  <c r="AF24" i="2" s="1"/>
  <c r="AG24" i="2" s="1"/>
  <c r="U76" i="2"/>
  <c r="AF76" i="2" s="1"/>
  <c r="AG76" i="2" s="1"/>
  <c r="U23" i="2"/>
  <c r="AF23" i="2" s="1"/>
  <c r="AG23" i="2" s="1"/>
  <c r="U55" i="2"/>
  <c r="AF55" i="2" s="1"/>
  <c r="AG55" i="2" s="1"/>
  <c r="U27" i="2"/>
  <c r="AF27" i="2" s="1"/>
  <c r="AG27" i="2" s="1"/>
  <c r="U47" i="2"/>
  <c r="AF47" i="2" s="1"/>
  <c r="AG47" i="2" s="1"/>
  <c r="U25" i="2"/>
  <c r="AF25" i="2" s="1"/>
  <c r="AG25" i="2" s="1"/>
  <c r="U12" i="2"/>
  <c r="AF12" i="2" s="1"/>
  <c r="AG12" i="2" s="1"/>
  <c r="N77" i="2"/>
  <c r="AD77" i="2" s="1"/>
  <c r="AE77" i="2" s="1"/>
  <c r="N24" i="2"/>
  <c r="AD24" i="2" s="1"/>
  <c r="AE24" i="2" s="1"/>
  <c r="N31" i="2"/>
  <c r="AD31" i="2" s="1"/>
  <c r="AE31" i="2" s="1"/>
  <c r="N26" i="2"/>
  <c r="AD26" i="2" s="1"/>
  <c r="AE26" i="2" s="1"/>
  <c r="N82" i="2"/>
  <c r="AD82" i="2" s="1"/>
  <c r="AE82" i="2" s="1"/>
  <c r="N16" i="2"/>
  <c r="AD16" i="2" s="1"/>
  <c r="AE16" i="2" s="1"/>
  <c r="N67" i="2"/>
  <c r="AD67" i="2" s="1"/>
  <c r="AE67" i="2" s="1"/>
  <c r="N51" i="2"/>
  <c r="AD51" i="2" s="1"/>
  <c r="AE51" i="2" s="1"/>
  <c r="N90" i="2"/>
  <c r="AD90" i="2" s="1"/>
  <c r="AE90" i="2" s="1"/>
  <c r="N60" i="2"/>
  <c r="AD60" i="2" s="1"/>
  <c r="AE60" i="2" s="1"/>
  <c r="N12" i="2"/>
  <c r="AD12" i="2" s="1"/>
  <c r="AE12" i="2" s="1"/>
  <c r="N76" i="2"/>
  <c r="AD76" i="2" s="1"/>
  <c r="AE76" i="2" s="1"/>
  <c r="N22" i="2"/>
  <c r="AD22" i="2" s="1"/>
  <c r="AE22" i="2" s="1"/>
  <c r="N54" i="2"/>
  <c r="AD54" i="2" s="1"/>
  <c r="AE54" i="2" s="1"/>
  <c r="AB21" i="2"/>
  <c r="AH21" i="2" s="1"/>
  <c r="AI21" i="2" s="1"/>
  <c r="AB25" i="2"/>
  <c r="AH25" i="2" s="1"/>
  <c r="AI25" i="2" s="1"/>
  <c r="AB38" i="2"/>
  <c r="AH38" i="2" s="1"/>
  <c r="AI38" i="2" s="1"/>
  <c r="AB63" i="2"/>
  <c r="AH63" i="2" s="1"/>
  <c r="AI63" i="2" s="1"/>
  <c r="AB83" i="2"/>
  <c r="AH83" i="2" s="1"/>
  <c r="AI83" i="2" s="1"/>
  <c r="AB49" i="2"/>
  <c r="AH49" i="2" s="1"/>
  <c r="AI49" i="2" s="1"/>
  <c r="AB47" i="2"/>
  <c r="AH47" i="2" s="1"/>
  <c r="AI47" i="2" s="1"/>
  <c r="AB26" i="2"/>
  <c r="AH26" i="2" s="1"/>
  <c r="AI26" i="2" s="1"/>
  <c r="AB89" i="2"/>
  <c r="AH89" i="2" s="1"/>
  <c r="AI89" i="2" s="1"/>
  <c r="AB37" i="2"/>
  <c r="AH37" i="2" s="1"/>
  <c r="AI37" i="2" s="1"/>
  <c r="AB35" i="2"/>
  <c r="AH35" i="2" s="1"/>
  <c r="AI35" i="2" s="1"/>
  <c r="AB36" i="2"/>
  <c r="AH36" i="2" s="1"/>
  <c r="AI36" i="2" s="1"/>
  <c r="AB27" i="2"/>
  <c r="AH27" i="2" s="1"/>
  <c r="AI27" i="2" s="1"/>
  <c r="AB48" i="2"/>
  <c r="AH48" i="2" s="1"/>
  <c r="AI48" i="2" s="1"/>
  <c r="AB90" i="2"/>
  <c r="AH90" i="2" s="1"/>
  <c r="AI90" i="2" s="1"/>
  <c r="AB84" i="2"/>
  <c r="AH84" i="2" s="1"/>
  <c r="AI84" i="2" s="1"/>
  <c r="AB60" i="2"/>
  <c r="AH60" i="2" s="1"/>
  <c r="AI60" i="2" s="1"/>
  <c r="AB67" i="2"/>
  <c r="AH67" i="2" s="1"/>
  <c r="AI67" i="2" s="1"/>
  <c r="U59" i="2"/>
  <c r="AF59" i="2" s="1"/>
  <c r="AG59" i="2" s="1"/>
  <c r="U85" i="2"/>
  <c r="AF85" i="2" s="1"/>
  <c r="AG85" i="2" s="1"/>
  <c r="U64" i="2"/>
  <c r="AF64" i="2" s="1"/>
  <c r="AG64" i="2" s="1"/>
  <c r="U20" i="2"/>
  <c r="AF20" i="2" s="1"/>
  <c r="AG20" i="2" s="1"/>
  <c r="U29" i="2"/>
  <c r="AF29" i="2" s="1"/>
  <c r="AG29" i="2" s="1"/>
  <c r="U53" i="2"/>
  <c r="AF53" i="2" s="1"/>
  <c r="AG53" i="2" s="1"/>
  <c r="U40" i="2"/>
  <c r="AF40" i="2" s="1"/>
  <c r="AG40" i="2" s="1"/>
  <c r="U30" i="2"/>
  <c r="AF30" i="2" s="1"/>
  <c r="AG30" i="2" s="1"/>
  <c r="U74" i="2"/>
  <c r="AF74" i="2" s="1"/>
  <c r="AG74" i="2" s="1"/>
  <c r="N73" i="2"/>
  <c r="AD73" i="2" s="1"/>
  <c r="AE73" i="2" s="1"/>
  <c r="N65" i="2"/>
  <c r="AD65" i="2" s="1"/>
  <c r="AE65" i="2" s="1"/>
  <c r="N38" i="2"/>
  <c r="AD38" i="2" s="1"/>
  <c r="AE38" i="2" s="1"/>
  <c r="N21" i="2"/>
  <c r="AD21" i="2" s="1"/>
  <c r="AE21" i="2" s="1"/>
  <c r="N87" i="2"/>
  <c r="AD87" i="2" s="1"/>
  <c r="AE87" i="2" s="1"/>
  <c r="N37" i="2"/>
  <c r="AD37" i="2" s="1"/>
  <c r="AE37" i="2" s="1"/>
  <c r="N20" i="2"/>
  <c r="AD20" i="2" s="1"/>
  <c r="AE20" i="2" s="1"/>
  <c r="N59" i="2"/>
  <c r="AD59" i="2" s="1"/>
  <c r="AE59" i="2" s="1"/>
  <c r="AB23" i="2"/>
  <c r="AH23" i="2" s="1"/>
  <c r="AI23" i="2" s="1"/>
  <c r="AB88" i="2"/>
  <c r="AH88" i="2" s="1"/>
  <c r="AI88" i="2" s="1"/>
  <c r="AB12" i="2"/>
  <c r="AH12" i="2" s="1"/>
  <c r="AI12" i="2" s="1"/>
  <c r="AB85" i="2"/>
  <c r="AH85" i="2" s="1"/>
  <c r="AI85" i="2" s="1"/>
  <c r="AB28" i="2"/>
  <c r="AH28" i="2" s="1"/>
  <c r="AI28" i="2" s="1"/>
  <c r="AB65" i="2"/>
  <c r="AH65" i="2" s="1"/>
  <c r="AI65" i="2" s="1"/>
  <c r="AB69" i="2"/>
  <c r="AH69" i="2" s="1"/>
  <c r="AI69" i="2" s="1"/>
  <c r="AB31" i="2"/>
  <c r="AH31" i="2" s="1"/>
  <c r="AI31" i="2" s="1"/>
  <c r="AB41" i="2"/>
  <c r="AH41" i="2" s="1"/>
  <c r="AI41" i="2" s="1"/>
  <c r="AB30" i="2"/>
  <c r="AH30" i="2" s="1"/>
  <c r="AI30" i="2" s="1"/>
  <c r="AB17" i="2"/>
  <c r="AH17" i="2" s="1"/>
  <c r="AI17" i="2" s="1"/>
  <c r="AB72" i="2"/>
  <c r="AH72" i="2" s="1"/>
  <c r="AI72" i="2" s="1"/>
  <c r="AB50" i="2"/>
  <c r="AH50" i="2" s="1"/>
  <c r="AI50" i="2" s="1"/>
  <c r="AB53" i="2"/>
  <c r="AH53" i="2" s="1"/>
  <c r="AI53" i="2" s="1"/>
  <c r="AB59" i="2"/>
  <c r="AH59" i="2" s="1"/>
  <c r="AI59" i="2" s="1"/>
  <c r="AB55" i="2"/>
  <c r="AH55" i="2" s="1"/>
  <c r="AI55" i="2" s="1"/>
  <c r="AB54" i="2"/>
  <c r="AH54" i="2" s="1"/>
  <c r="AI54" i="2" s="1"/>
  <c r="AB87" i="2"/>
  <c r="AH87" i="2" s="1"/>
  <c r="AI87" i="2" s="1"/>
  <c r="AB22" i="2"/>
  <c r="AH22" i="2" s="1"/>
  <c r="AI22" i="2" s="1"/>
  <c r="U35" i="2"/>
  <c r="AF35" i="2" s="1"/>
  <c r="AG35" i="2" s="1"/>
  <c r="U83" i="2"/>
  <c r="AF83" i="2" s="1"/>
  <c r="AG83" i="2" s="1"/>
  <c r="U69" i="2"/>
  <c r="AF69" i="2" s="1"/>
  <c r="AG69" i="2" s="1"/>
  <c r="U68" i="2"/>
  <c r="AF68" i="2" s="1"/>
  <c r="AG68" i="2" s="1"/>
  <c r="U77" i="2"/>
  <c r="AF77" i="2" s="1"/>
  <c r="AG77" i="2" s="1"/>
  <c r="U67" i="2"/>
  <c r="AF67" i="2" s="1"/>
  <c r="AG67" i="2" s="1"/>
  <c r="U75" i="2"/>
  <c r="AF75" i="2" s="1"/>
  <c r="AG75" i="2" s="1"/>
  <c r="N35" i="2"/>
  <c r="AD35" i="2" s="1"/>
  <c r="N53" i="2"/>
  <c r="AD53" i="2" s="1"/>
  <c r="N69" i="2"/>
  <c r="AD69" i="2" s="1"/>
  <c r="AE69" i="2" s="1"/>
  <c r="N28" i="2"/>
  <c r="AD28" i="2" s="1"/>
  <c r="AE28" i="2" s="1"/>
  <c r="N41" i="2"/>
  <c r="AD41" i="2" s="1"/>
  <c r="AE41" i="2" s="1"/>
  <c r="N17" i="2"/>
  <c r="AD17" i="2" s="1"/>
  <c r="AE17" i="2" s="1"/>
  <c r="N57" i="2"/>
  <c r="AD57" i="2" s="1"/>
  <c r="N40" i="2"/>
  <c r="AD40" i="2" s="1"/>
  <c r="AE40" i="2" s="1"/>
  <c r="N85" i="2"/>
  <c r="AD85" i="2" s="1"/>
  <c r="U66" i="2"/>
  <c r="AF66" i="2" s="1"/>
  <c r="AG66" i="2" s="1"/>
  <c r="N63" i="2"/>
  <c r="AD63" i="2" s="1"/>
  <c r="AE63" i="2" s="1"/>
  <c r="U86" i="2"/>
  <c r="AF86" i="2" s="1"/>
  <c r="AG86" i="2" s="1"/>
  <c r="N25" i="2"/>
  <c r="AD25" i="2" s="1"/>
  <c r="U87" i="2"/>
  <c r="AF87" i="2" s="1"/>
  <c r="AG87" i="2" s="1"/>
  <c r="AB71" i="2"/>
  <c r="AH71" i="2" s="1"/>
  <c r="AI71" i="2" s="1"/>
  <c r="N68" i="2"/>
  <c r="AD68" i="2" s="1"/>
  <c r="U31" i="2"/>
  <c r="AF31" i="2" s="1"/>
  <c r="AG31" i="2" s="1"/>
  <c r="U78" i="2"/>
  <c r="AF78" i="2" s="1"/>
  <c r="AG78" i="2" s="1"/>
  <c r="N81" i="2"/>
  <c r="AD81" i="2" s="1"/>
  <c r="U84" i="2"/>
  <c r="AF84" i="2" s="1"/>
  <c r="AG84" i="2" s="1"/>
  <c r="U71" i="2"/>
  <c r="AF71" i="2" s="1"/>
  <c r="AG71" i="2" s="1"/>
  <c r="N74" i="2"/>
  <c r="AD74" i="2" s="1"/>
  <c r="U90" i="2"/>
  <c r="AF90" i="2" s="1"/>
  <c r="AG90" i="2" s="1"/>
  <c r="U88" i="2"/>
  <c r="AF88" i="2" s="1"/>
  <c r="AG88" i="2" s="1"/>
  <c r="AB51" i="2"/>
  <c r="AH51" i="2" s="1"/>
  <c r="AI51" i="2" s="1"/>
  <c r="AB40" i="2"/>
  <c r="AH40" i="2" s="1"/>
  <c r="AI40" i="2" s="1"/>
  <c r="U39" i="2"/>
  <c r="AF39" i="2" s="1"/>
  <c r="AG39" i="2" s="1"/>
  <c r="N75" i="2"/>
  <c r="AD75" i="2" s="1"/>
  <c r="N33" i="2"/>
  <c r="AD33" i="2" s="1"/>
  <c r="U65" i="2"/>
  <c r="AF65" i="2" s="1"/>
  <c r="AG65" i="2" s="1"/>
  <c r="U33" i="2"/>
  <c r="AF33" i="2" s="1"/>
  <c r="AG33" i="2" s="1"/>
  <c r="U21" i="2"/>
  <c r="AF21" i="2" s="1"/>
  <c r="AG21" i="2" s="1"/>
  <c r="AB57" i="2"/>
  <c r="AH57" i="2" s="1"/>
  <c r="AI57" i="2" s="1"/>
  <c r="AB33" i="2"/>
  <c r="AH33" i="2" s="1"/>
  <c r="AI33" i="2" s="1"/>
  <c r="U41" i="2"/>
  <c r="AF41" i="2" s="1"/>
  <c r="AG41" i="2" s="1"/>
  <c r="N78" i="2"/>
  <c r="AD78" i="2" s="1"/>
  <c r="U38" i="2"/>
  <c r="AF38" i="2" s="1"/>
  <c r="AG38" i="2" s="1"/>
  <c r="U82" i="2"/>
  <c r="AF82" i="2" s="1"/>
  <c r="AG82" i="2" s="1"/>
  <c r="U49" i="2"/>
  <c r="AF49" i="2" s="1"/>
  <c r="AG49" i="2" s="1"/>
  <c r="U36" i="2"/>
  <c r="AF36" i="2" s="1"/>
  <c r="AG36" i="2" s="1"/>
  <c r="U48" i="2"/>
  <c r="AF48" i="2" s="1"/>
  <c r="AG48" i="2" s="1"/>
  <c r="AB78" i="2"/>
  <c r="AH78" i="2" s="1"/>
  <c r="AI78" i="2" s="1"/>
  <c r="N66" i="2"/>
  <c r="AD66" i="2" s="1"/>
  <c r="AB43" i="2"/>
  <c r="AH43" i="2" s="1"/>
  <c r="AI43" i="2" s="1"/>
  <c r="AB66" i="2"/>
  <c r="AH66" i="2" s="1"/>
  <c r="AI66" i="2" s="1"/>
  <c r="N64" i="2"/>
  <c r="AD64" i="2" s="1"/>
  <c r="AB39" i="2"/>
  <c r="AH39" i="2" s="1"/>
  <c r="AI39" i="2" s="1"/>
  <c r="U73" i="2"/>
  <c r="AF73" i="2" s="1"/>
  <c r="AG73" i="2" s="1"/>
  <c r="U60" i="2"/>
  <c r="AF60" i="2" s="1"/>
  <c r="AG60" i="2" s="1"/>
  <c r="AB29" i="2"/>
  <c r="AH29" i="2" s="1"/>
  <c r="AI29" i="2" s="1"/>
  <c r="AB24" i="2"/>
  <c r="AH24" i="2" s="1"/>
  <c r="AI24" i="2" s="1"/>
  <c r="N39" i="2"/>
  <c r="AD39" i="2" s="1"/>
  <c r="AB82" i="2"/>
  <c r="AH82" i="2" s="1"/>
  <c r="AI82" i="2" s="1"/>
  <c r="N30" i="2"/>
  <c r="AD30" i="2" s="1"/>
  <c r="N47" i="2"/>
  <c r="AD47" i="2" s="1"/>
  <c r="U22" i="2"/>
  <c r="AF22" i="2" s="1"/>
  <c r="AG22" i="2" s="1"/>
  <c r="U89" i="2"/>
  <c r="AF89" i="2" s="1"/>
  <c r="AG89" i="2" s="1"/>
  <c r="AB64" i="2"/>
  <c r="AH64" i="2" s="1"/>
  <c r="AI64" i="2" s="1"/>
  <c r="N49" i="2"/>
  <c r="AD49" i="2" s="1"/>
  <c r="N58" i="2"/>
  <c r="AD58" i="2" s="1"/>
  <c r="U37" i="2"/>
  <c r="AF37" i="2" s="1"/>
  <c r="AG37" i="2" s="1"/>
  <c r="U72" i="2"/>
  <c r="AF72" i="2" s="1"/>
  <c r="AG72" i="2" s="1"/>
  <c r="AB79" i="2"/>
  <c r="AH79" i="2" s="1"/>
  <c r="AI79" i="2" s="1"/>
  <c r="AB86" i="2"/>
  <c r="AH86" i="2" s="1"/>
  <c r="AI86" i="2" s="1"/>
  <c r="N50" i="2"/>
  <c r="AD50" i="2" s="1"/>
  <c r="N43" i="2"/>
  <c r="AD43" i="2" s="1"/>
  <c r="N29" i="2"/>
  <c r="AD29" i="2" s="1"/>
  <c r="U62" i="2"/>
  <c r="AF62" i="2" s="1"/>
  <c r="AG62" i="2" s="1"/>
  <c r="U43" i="2"/>
  <c r="AF43" i="2" s="1"/>
  <c r="AG43" i="2" s="1"/>
  <c r="AB16" i="2"/>
  <c r="AH16" i="2" s="1"/>
  <c r="AI16" i="2" s="1"/>
  <c r="N72" i="2"/>
  <c r="AD72" i="2" s="1"/>
  <c r="N84" i="2"/>
  <c r="AD84" i="2" s="1"/>
  <c r="U63" i="2"/>
  <c r="AF63" i="2" s="1"/>
  <c r="AG63" i="2" s="1"/>
  <c r="U80" i="2"/>
  <c r="AF80" i="2" s="1"/>
  <c r="AG80" i="2" s="1"/>
  <c r="AB76" i="2"/>
  <c r="AH76" i="2" s="1"/>
  <c r="AI76" i="2" s="1"/>
  <c r="AB75" i="2"/>
  <c r="AH75" i="2" s="1"/>
  <c r="AI75" i="2" s="1"/>
  <c r="N83" i="2"/>
  <c r="AD83" i="2" s="1"/>
  <c r="N86" i="2"/>
  <c r="AD86" i="2" s="1"/>
  <c r="AB20" i="2"/>
  <c r="AH20" i="2" s="1"/>
  <c r="AI20" i="2" s="1"/>
  <c r="U54" i="2"/>
  <c r="AF54" i="2" s="1"/>
  <c r="AG54" i="2" s="1"/>
  <c r="N61" i="2"/>
  <c r="AD61" i="2" s="1"/>
  <c r="U17" i="2"/>
  <c r="AF17" i="2" s="1"/>
  <c r="AG17" i="2" s="1"/>
  <c r="N80" i="2"/>
  <c r="AD80" i="2" s="1"/>
  <c r="U16" i="2"/>
  <c r="AF16" i="2" s="1"/>
  <c r="AG16" i="2" s="1"/>
  <c r="N79" i="2"/>
  <c r="AD79" i="2" s="1"/>
  <c r="AB80" i="2"/>
  <c r="AH80" i="2" s="1"/>
  <c r="AI80" i="2" s="1"/>
  <c r="AB61" i="2"/>
  <c r="AH61" i="2" s="1"/>
  <c r="AI61" i="2" s="1"/>
  <c r="AB58" i="2"/>
  <c r="AH58" i="2" s="1"/>
  <c r="AI58" i="2" s="1"/>
  <c r="AB74" i="2"/>
  <c r="AH74" i="2" s="1"/>
  <c r="AI74" i="2" s="1"/>
  <c r="U28" i="2"/>
  <c r="AF28" i="2" s="1"/>
  <c r="AG28" i="2" s="1"/>
  <c r="AB62" i="2"/>
  <c r="AH62" i="2" s="1"/>
  <c r="AI62" i="2" s="1"/>
  <c r="AB81" i="2"/>
  <c r="AH81" i="2" s="1"/>
  <c r="AI81" i="2" s="1"/>
  <c r="AB73" i="2"/>
  <c r="AH73" i="2" s="1"/>
  <c r="AI73" i="2" s="1"/>
  <c r="AB77" i="2"/>
  <c r="AH77" i="2" s="1"/>
  <c r="AI77" i="2" s="1"/>
  <c r="AB68" i="2"/>
  <c r="AH68" i="2" s="1"/>
  <c r="AI68" i="2" s="1"/>
  <c r="N70" i="2"/>
  <c r="AD70" i="2" s="1"/>
  <c r="AB45" i="2"/>
  <c r="AH45" i="2" s="1"/>
  <c r="AI45" i="2" s="1"/>
  <c r="AB70" i="2"/>
  <c r="AH70" i="2" s="1"/>
  <c r="U15" i="2"/>
  <c r="AF15" i="2" s="1"/>
  <c r="AG15" i="2" s="1"/>
  <c r="U45" i="2"/>
  <c r="AF45" i="2" s="1"/>
  <c r="N13" i="2"/>
  <c r="AD13" i="2" s="1"/>
  <c r="AL13" i="2" s="1"/>
  <c r="AM13" i="2" s="1"/>
  <c r="N32" i="2"/>
  <c r="AD32" i="2" s="1"/>
  <c r="N19" i="2"/>
  <c r="AD19" i="2" s="1"/>
  <c r="AL19" i="2" s="1"/>
  <c r="AM19" i="2" s="1"/>
  <c r="N46" i="2"/>
  <c r="AD46" i="2" s="1"/>
  <c r="AG46" i="2"/>
  <c r="AG32" i="2"/>
  <c r="U42" i="2"/>
  <c r="AF42" i="2" s="1"/>
  <c r="AG42" i="2" s="1"/>
  <c r="N42" i="2"/>
  <c r="AD42" i="2" s="1"/>
  <c r="AB42" i="2"/>
  <c r="AH42" i="2" s="1"/>
  <c r="AI42" i="2" s="1"/>
  <c r="AB56" i="2"/>
  <c r="AH56" i="2" s="1"/>
  <c r="AI56" i="2" s="1"/>
  <c r="AB52" i="2"/>
  <c r="AH52" i="2" s="1"/>
  <c r="AI52" i="2" s="1"/>
  <c r="N18" i="2"/>
  <c r="AD18" i="2" s="1"/>
  <c r="U18" i="2"/>
  <c r="AF18" i="2" s="1"/>
  <c r="AG18" i="2" s="1"/>
  <c r="AB34" i="2"/>
  <c r="AH34" i="2" s="1"/>
  <c r="AI34" i="2" s="1"/>
  <c r="AB18" i="2"/>
  <c r="AH18" i="2" s="1"/>
  <c r="AI18" i="2" s="1"/>
  <c r="U34" i="2"/>
  <c r="AF34" i="2" s="1"/>
  <c r="AG34" i="2" s="1"/>
  <c r="N52" i="2"/>
  <c r="AD52" i="2" s="1"/>
  <c r="N34" i="2"/>
  <c r="AD34" i="2" s="1"/>
  <c r="N56" i="2"/>
  <c r="AD56" i="2" s="1"/>
  <c r="U52" i="2"/>
  <c r="AF52" i="2" s="1"/>
  <c r="AG52" i="2" s="1"/>
  <c r="U56" i="2"/>
  <c r="AF56" i="2" s="1"/>
  <c r="AB91" i="2"/>
  <c r="AH91" i="2" s="1"/>
  <c r="AI91" i="2" s="1"/>
  <c r="U91" i="2"/>
  <c r="AF91" i="2" s="1"/>
  <c r="AG91" i="2" s="1"/>
  <c r="N91" i="2"/>
  <c r="AD91" i="2" s="1"/>
  <c r="AL44" i="2" l="1"/>
  <c r="AM44" i="2" s="1"/>
  <c r="AE14" i="2"/>
  <c r="AL83" i="2"/>
  <c r="AM83" i="2" s="1"/>
  <c r="AL35" i="2"/>
  <c r="AL50" i="2"/>
  <c r="AM50" i="2" s="1"/>
  <c r="AL47" i="2"/>
  <c r="AM47" i="2" s="1"/>
  <c r="AL25" i="2"/>
  <c r="AE25" i="2"/>
  <c r="AL79" i="2"/>
  <c r="AM79" i="2" s="1"/>
  <c r="AL39" i="2"/>
  <c r="AM39" i="2" s="1"/>
  <c r="AL12" i="2"/>
  <c r="AE35" i="2"/>
  <c r="AL86" i="2"/>
  <c r="AM86" i="2" s="1"/>
  <c r="AL59" i="2"/>
  <c r="AL26" i="2"/>
  <c r="AL30" i="2"/>
  <c r="AM30" i="2" s="1"/>
  <c r="AL53" i="2"/>
  <c r="AL85" i="2"/>
  <c r="AL23" i="2"/>
  <c r="AL27" i="2"/>
  <c r="AL49" i="2"/>
  <c r="AM49" i="2" s="1"/>
  <c r="AL69" i="2"/>
  <c r="AE85" i="2"/>
  <c r="AE53" i="2"/>
  <c r="AL52" i="2"/>
  <c r="AM52" i="2" s="1"/>
  <c r="AL64" i="2"/>
  <c r="AM64" i="2" s="1"/>
  <c r="AL40" i="2"/>
  <c r="AL20" i="2"/>
  <c r="AM20" i="2" s="1"/>
  <c r="AL24" i="2"/>
  <c r="AL68" i="2"/>
  <c r="AM68" i="2" s="1"/>
  <c r="AL57" i="2"/>
  <c r="AL61" i="2"/>
  <c r="AM61" i="2" s="1"/>
  <c r="AL76" i="2"/>
  <c r="AL75" i="2"/>
  <c r="AM75" i="2" s="1"/>
  <c r="AL51" i="2"/>
  <c r="AL45" i="2"/>
  <c r="AM45" i="2" s="1"/>
  <c r="AL81" i="2"/>
  <c r="AM81" i="2" s="1"/>
  <c r="AL29" i="2"/>
  <c r="AM29" i="2" s="1"/>
  <c r="AL58" i="2"/>
  <c r="AM58" i="2" s="1"/>
  <c r="AL74" i="2"/>
  <c r="AM74" i="2" s="1"/>
  <c r="AL55" i="2"/>
  <c r="AL67" i="2"/>
  <c r="AL77" i="2"/>
  <c r="AM77" i="2" s="1"/>
  <c r="AL80" i="2"/>
  <c r="AM80" i="2" s="1"/>
  <c r="AL88" i="2"/>
  <c r="AL91" i="2"/>
  <c r="AM91" i="2" s="1"/>
  <c r="AL43" i="2"/>
  <c r="AM43" i="2" s="1"/>
  <c r="AL15" i="2"/>
  <c r="AM15" i="2" s="1"/>
  <c r="AL84" i="2"/>
  <c r="AM84" i="2" s="1"/>
  <c r="AL33" i="2"/>
  <c r="AM33" i="2" s="1"/>
  <c r="AL63" i="2"/>
  <c r="AM63" i="2" s="1"/>
  <c r="AL65" i="2"/>
  <c r="AL36" i="2"/>
  <c r="AL90" i="2"/>
  <c r="AM90" i="2" s="1"/>
  <c r="AL16" i="2"/>
  <c r="AM16" i="2" s="1"/>
  <c r="AL71" i="2"/>
  <c r="AM71" i="2" s="1"/>
  <c r="AL73" i="2"/>
  <c r="AM73" i="2" s="1"/>
  <c r="AL60" i="2"/>
  <c r="AM60" i="2" s="1"/>
  <c r="AL18" i="2"/>
  <c r="AM18" i="2" s="1"/>
  <c r="AL72" i="2"/>
  <c r="AM72" i="2" s="1"/>
  <c r="AL17" i="2"/>
  <c r="AM17" i="2" s="1"/>
  <c r="AL82" i="2"/>
  <c r="AM82" i="2" s="1"/>
  <c r="AL89" i="2"/>
  <c r="AL37" i="2"/>
  <c r="AM37" i="2" s="1"/>
  <c r="AL41" i="2"/>
  <c r="AL31" i="2"/>
  <c r="AL54" i="2"/>
  <c r="AM54" i="2" s="1"/>
  <c r="AL78" i="2"/>
  <c r="AM78" i="2" s="1"/>
  <c r="AL87" i="2"/>
  <c r="AL22" i="2"/>
  <c r="AM22" i="2" s="1"/>
  <c r="AL21" i="2"/>
  <c r="AL62" i="2"/>
  <c r="AL66" i="2"/>
  <c r="AM66" i="2" s="1"/>
  <c r="AL28" i="2"/>
  <c r="AM28" i="2" s="1"/>
  <c r="AL48" i="2"/>
  <c r="AL38" i="2"/>
  <c r="AE57" i="2"/>
  <c r="AE70" i="2"/>
  <c r="AL70" i="2"/>
  <c r="AM70" i="2" s="1"/>
  <c r="AE46" i="2"/>
  <c r="AL46" i="2"/>
  <c r="AM46" i="2" s="1"/>
  <c r="AE56" i="2"/>
  <c r="AL56" i="2"/>
  <c r="AM56" i="2" s="1"/>
  <c r="AE32" i="2"/>
  <c r="AL32" i="2"/>
  <c r="AM32" i="2" s="1"/>
  <c r="AE34" i="2"/>
  <c r="AL34" i="2"/>
  <c r="AM34" i="2" s="1"/>
  <c r="AE42" i="2"/>
  <c r="AL42" i="2"/>
  <c r="AM42" i="2" s="1"/>
  <c r="AE86" i="2"/>
  <c r="AE47" i="2"/>
  <c r="AE30" i="2"/>
  <c r="AE68" i="2"/>
  <c r="AE83" i="2"/>
  <c r="AE39" i="2"/>
  <c r="AE33" i="2"/>
  <c r="AE80" i="2"/>
  <c r="AE79" i="2"/>
  <c r="AE61" i="2"/>
  <c r="AE29" i="2"/>
  <c r="AE58" i="2"/>
  <c r="AE75" i="2"/>
  <c r="AE43" i="2"/>
  <c r="AE81" i="2"/>
  <c r="AE84" i="2"/>
  <c r="AE50" i="2"/>
  <c r="AE49" i="2"/>
  <c r="AE64" i="2"/>
  <c r="AE74" i="2"/>
  <c r="AE72" i="2"/>
  <c r="AE66" i="2"/>
  <c r="AE78" i="2"/>
  <c r="AI70" i="2"/>
  <c r="AG45" i="2"/>
  <c r="AE13" i="2"/>
  <c r="AE19" i="2"/>
  <c r="AE18" i="2"/>
  <c r="AE52" i="2"/>
  <c r="AG56" i="2"/>
  <c r="AE91" i="2"/>
  <c r="AM59" i="2" l="1"/>
  <c r="AS59" i="2" s="1"/>
  <c r="AM62" i="2"/>
  <c r="AS62" i="2" s="1"/>
  <c r="AM31" i="2"/>
  <c r="AS31" i="2" s="1"/>
  <c r="AM76" i="2"/>
  <c r="AR76" i="2" s="1"/>
  <c r="AM40" i="2"/>
  <c r="AO40" i="2" s="1"/>
  <c r="AM12" i="2"/>
  <c r="AS12" i="2" s="1"/>
  <c r="AM38" i="2"/>
  <c r="AO38" i="2" s="1"/>
  <c r="AM21" i="2"/>
  <c r="AR21" i="2" s="1"/>
  <c r="AM67" i="2"/>
  <c r="AO67" i="2" s="1"/>
  <c r="AM23" i="2"/>
  <c r="AS23" i="2" s="1"/>
  <c r="AM25" i="2"/>
  <c r="AR25" i="2" s="1"/>
  <c r="AM51" i="2"/>
  <c r="AP51" i="2" s="1"/>
  <c r="AM48" i="2"/>
  <c r="AO48" i="2" s="1"/>
  <c r="AM89" i="2"/>
  <c r="AO89" i="2" s="1"/>
  <c r="AM27" i="2"/>
  <c r="AR27" i="2" s="1"/>
  <c r="AM85" i="2"/>
  <c r="AO85" i="2" s="1"/>
  <c r="AM57" i="2"/>
  <c r="AP57" i="2" s="1"/>
  <c r="AM35" i="2"/>
  <c r="AR35" i="2" s="1"/>
  <c r="AM41" i="2"/>
  <c r="AQ41" i="2" s="1"/>
  <c r="AM36" i="2"/>
  <c r="AP36" i="2" s="1"/>
  <c r="AM69" i="2"/>
  <c r="AN69" i="2" s="1"/>
  <c r="AM53" i="2"/>
  <c r="AQ53" i="2" s="1"/>
  <c r="AM26" i="2"/>
  <c r="AQ26" i="2" s="1"/>
  <c r="AM87" i="2"/>
  <c r="AO87" i="2" s="1"/>
  <c r="AM65" i="2"/>
  <c r="AR65" i="2" s="1"/>
  <c r="AM88" i="2"/>
  <c r="AN88" i="2" s="1"/>
  <c r="AM55" i="2"/>
  <c r="AN55" i="2" s="1"/>
  <c r="AM24" i="2"/>
  <c r="AS24" i="2" s="1"/>
  <c r="AP16" i="2"/>
  <c r="AO16" i="2"/>
  <c r="AN16" i="2"/>
  <c r="AR16" i="2"/>
  <c r="AS16" i="2"/>
  <c r="AQ16" i="2"/>
  <c r="AS72" i="2"/>
  <c r="AP72" i="2"/>
  <c r="AO72" i="2"/>
  <c r="AN72" i="2"/>
  <c r="AR72" i="2"/>
  <c r="AQ72" i="2"/>
  <c r="AS43" i="2"/>
  <c r="AQ43" i="2"/>
  <c r="AP43" i="2"/>
  <c r="AO43" i="2"/>
  <c r="AN43" i="2"/>
  <c r="AR43" i="2"/>
  <c r="AS61" i="2"/>
  <c r="AR61" i="2"/>
  <c r="AP61" i="2"/>
  <c r="AO61" i="2"/>
  <c r="AN61" i="2"/>
  <c r="AQ61" i="2"/>
  <c r="AS33" i="2"/>
  <c r="AP33" i="2"/>
  <c r="AO33" i="2"/>
  <c r="AR33" i="2"/>
  <c r="AQ33" i="2"/>
  <c r="AN33" i="2"/>
  <c r="AQ28" i="2"/>
  <c r="AO28" i="2"/>
  <c r="AS28" i="2"/>
  <c r="AR28" i="2"/>
  <c r="AP28" i="2"/>
  <c r="AN28" i="2"/>
  <c r="AS22" i="2"/>
  <c r="AR22" i="2"/>
  <c r="AQ22" i="2"/>
  <c r="AP22" i="2"/>
  <c r="AN22" i="2"/>
  <c r="AO22" i="2"/>
  <c r="AS74" i="2"/>
  <c r="AR74" i="2"/>
  <c r="AP74" i="2"/>
  <c r="AO74" i="2"/>
  <c r="AQ74" i="2"/>
  <c r="AN74" i="2"/>
  <c r="AQ50" i="2"/>
  <c r="AO50" i="2"/>
  <c r="AR50" i="2"/>
  <c r="AP50" i="2"/>
  <c r="AN50" i="2"/>
  <c r="AS50" i="2"/>
  <c r="AS75" i="2"/>
  <c r="AN75" i="2"/>
  <c r="AQ75" i="2"/>
  <c r="AO75" i="2"/>
  <c r="AR75" i="2"/>
  <c r="AP75" i="2"/>
  <c r="AN37" i="2"/>
  <c r="AR37" i="2"/>
  <c r="AS37" i="2"/>
  <c r="AP37" i="2"/>
  <c r="AQ37" i="2"/>
  <c r="AO37" i="2"/>
  <c r="AO80" i="2"/>
  <c r="AN80" i="2"/>
  <c r="AP80" i="2"/>
  <c r="AS80" i="2"/>
  <c r="AQ80" i="2"/>
  <c r="AR80" i="2"/>
  <c r="AP66" i="2"/>
  <c r="AO66" i="2"/>
  <c r="AN66" i="2"/>
  <c r="AS66" i="2"/>
  <c r="AR66" i="2"/>
  <c r="AQ66" i="2"/>
  <c r="AS84" i="2"/>
  <c r="AR84" i="2"/>
  <c r="AN84" i="2"/>
  <c r="AQ84" i="2"/>
  <c r="AO84" i="2"/>
  <c r="AP84" i="2"/>
  <c r="AQ58" i="2"/>
  <c r="AP58" i="2"/>
  <c r="AR58" i="2"/>
  <c r="AN58" i="2"/>
  <c r="AO58" i="2"/>
  <c r="AS58" i="2"/>
  <c r="AO63" i="2"/>
  <c r="AN63" i="2"/>
  <c r="AQ63" i="2"/>
  <c r="AS63" i="2"/>
  <c r="AR63" i="2"/>
  <c r="AP63" i="2"/>
  <c r="AP60" i="2"/>
  <c r="AO60" i="2"/>
  <c r="AN60" i="2"/>
  <c r="AS60" i="2"/>
  <c r="AR60" i="2"/>
  <c r="AQ60" i="2"/>
  <c r="AN20" i="2"/>
  <c r="AR20" i="2"/>
  <c r="AQ20" i="2"/>
  <c r="AP20" i="2"/>
  <c r="AS20" i="2"/>
  <c r="AO20" i="2"/>
  <c r="AQ79" i="2"/>
  <c r="AR79" i="2"/>
  <c r="AN79" i="2"/>
  <c r="AS79" i="2"/>
  <c r="AO79" i="2"/>
  <c r="AP79" i="2"/>
  <c r="AQ39" i="2"/>
  <c r="AN39" i="2"/>
  <c r="AS39" i="2"/>
  <c r="AR39" i="2"/>
  <c r="AP39" i="2"/>
  <c r="AO39" i="2"/>
  <c r="AN83" i="2"/>
  <c r="AO83" i="2"/>
  <c r="AQ83" i="2"/>
  <c r="AS83" i="2"/>
  <c r="AR83" i="2"/>
  <c r="AP83" i="2"/>
  <c r="AS17" i="2"/>
  <c r="AQ17" i="2"/>
  <c r="AO17" i="2"/>
  <c r="AR17" i="2"/>
  <c r="AN17" i="2"/>
  <c r="AP17" i="2"/>
  <c r="AO71" i="2"/>
  <c r="AP71" i="2"/>
  <c r="AS71" i="2"/>
  <c r="AR71" i="2"/>
  <c r="AQ71" i="2"/>
  <c r="AN71" i="2"/>
  <c r="AR78" i="2"/>
  <c r="AQ78" i="2"/>
  <c r="AN78" i="2"/>
  <c r="AO78" i="2"/>
  <c r="AS78" i="2"/>
  <c r="AP78" i="2"/>
  <c r="AR64" i="2"/>
  <c r="AP64" i="2"/>
  <c r="AO64" i="2"/>
  <c r="AN64" i="2"/>
  <c r="AQ64" i="2"/>
  <c r="AS64" i="2"/>
  <c r="AQ54" i="2"/>
  <c r="AP54" i="2"/>
  <c r="AN54" i="2"/>
  <c r="AS54" i="2"/>
  <c r="AR54" i="2"/>
  <c r="AO54" i="2"/>
  <c r="AP29" i="2"/>
  <c r="AO29" i="2"/>
  <c r="AN29" i="2"/>
  <c r="AS29" i="2"/>
  <c r="AR29" i="2"/>
  <c r="AQ29" i="2"/>
  <c r="AS30" i="2"/>
  <c r="AR30" i="2"/>
  <c r="AQ30" i="2"/>
  <c r="AP30" i="2"/>
  <c r="AO30" i="2"/>
  <c r="AN30" i="2"/>
  <c r="AR47" i="2"/>
  <c r="AN47" i="2"/>
  <c r="AP47" i="2"/>
  <c r="AQ47" i="2"/>
  <c r="AO47" i="2"/>
  <c r="AS47" i="2"/>
  <c r="AS73" i="2"/>
  <c r="AR73" i="2"/>
  <c r="AN73" i="2"/>
  <c r="AQ73" i="2"/>
  <c r="AP73" i="2"/>
  <c r="AO73" i="2"/>
  <c r="AP82" i="2"/>
  <c r="AN82" i="2"/>
  <c r="AQ82" i="2"/>
  <c r="AS82" i="2"/>
  <c r="AO82" i="2"/>
  <c r="AR82" i="2"/>
  <c r="AS81" i="2"/>
  <c r="AR81" i="2"/>
  <c r="AQ81" i="2"/>
  <c r="AP81" i="2"/>
  <c r="AO81" i="2"/>
  <c r="AN81" i="2"/>
  <c r="AS68" i="2"/>
  <c r="AR68" i="2"/>
  <c r="AQ68" i="2"/>
  <c r="AP68" i="2"/>
  <c r="AO68" i="2"/>
  <c r="AN68" i="2"/>
  <c r="AS49" i="2"/>
  <c r="AR49" i="2"/>
  <c r="AP49" i="2"/>
  <c r="AN49" i="2"/>
  <c r="AQ49" i="2"/>
  <c r="AO49" i="2"/>
  <c r="AQ90" i="2"/>
  <c r="AO90" i="2"/>
  <c r="AR90" i="2"/>
  <c r="AS90" i="2"/>
  <c r="AN90" i="2"/>
  <c r="AP90" i="2"/>
  <c r="AQ77" i="2"/>
  <c r="AS77" i="2"/>
  <c r="AP77" i="2"/>
  <c r="AO77" i="2"/>
  <c r="AN77" i="2"/>
  <c r="AR77" i="2"/>
  <c r="AS86" i="2"/>
  <c r="AR86" i="2"/>
  <c r="AP86" i="2"/>
  <c r="AO86" i="2"/>
  <c r="AQ86" i="2"/>
  <c r="AN86" i="2"/>
  <c r="P8" i="2"/>
  <c r="AS44" i="2"/>
  <c r="AN19" i="2"/>
  <c r="AR19" i="2"/>
  <c r="AP19" i="2"/>
  <c r="AO19" i="2"/>
  <c r="AS19" i="2"/>
  <c r="AQ19" i="2"/>
  <c r="AS56" i="2"/>
  <c r="AR56" i="2"/>
  <c r="AO56" i="2"/>
  <c r="AP56" i="2"/>
  <c r="AS34" i="2"/>
  <c r="AR34" i="2"/>
  <c r="AN34" i="2"/>
  <c r="AQ34" i="2"/>
  <c r="AO34" i="2"/>
  <c r="AP34" i="2"/>
  <c r="AS42" i="2"/>
  <c r="AR42" i="2"/>
  <c r="AS91" i="2"/>
  <c r="AR91" i="2"/>
  <c r="AS15" i="2"/>
  <c r="AR15" i="2"/>
  <c r="AS45" i="2"/>
  <c r="AR45" i="2"/>
  <c r="AR32" i="2"/>
  <c r="AS32" i="2"/>
  <c r="AS18" i="2"/>
  <c r="AR18" i="2"/>
  <c r="AN15" i="2"/>
  <c r="AQ15" i="2"/>
  <c r="AP15" i="2"/>
  <c r="AO15" i="2"/>
  <c r="AP91" i="2"/>
  <c r="AQ91" i="2"/>
  <c r="AO91" i="2"/>
  <c r="AN91" i="2"/>
  <c r="AN18" i="2"/>
  <c r="AO18" i="2"/>
  <c r="AO45" i="2"/>
  <c r="AN45" i="2"/>
  <c r="AQ18" i="2"/>
  <c r="AP18" i="2"/>
  <c r="AP45" i="2"/>
  <c r="AQ45" i="2"/>
  <c r="AQ62" i="2" l="1"/>
  <c r="AP62" i="2"/>
  <c r="AN62" i="2"/>
  <c r="AR62" i="2"/>
  <c r="AO62" i="2"/>
  <c r="AQ51" i="2"/>
  <c r="AO51" i="2"/>
  <c r="AS38" i="2"/>
  <c r="AR51" i="2"/>
  <c r="AN51" i="2"/>
  <c r="AS51" i="2"/>
  <c r="AP38" i="2"/>
  <c r="AS40" i="2"/>
  <c r="AO41" i="2"/>
  <c r="AR41" i="2"/>
  <c r="AQ38" i="2"/>
  <c r="AN38" i="2"/>
  <c r="AR38" i="2"/>
  <c r="AN40" i="2"/>
  <c r="AS87" i="2"/>
  <c r="AP40" i="2"/>
  <c r="AQ40" i="2"/>
  <c r="AR40" i="2"/>
  <c r="AP31" i="2"/>
  <c r="AN31" i="2"/>
  <c r="AQ76" i="2"/>
  <c r="AP67" i="2"/>
  <c r="AP21" i="2"/>
  <c r="AO21" i="2"/>
  <c r="AN21" i="2"/>
  <c r="AN48" i="2"/>
  <c r="AR48" i="2"/>
  <c r="AQ48" i="2"/>
  <c r="AP87" i="2"/>
  <c r="AN87" i="2"/>
  <c r="AS41" i="2"/>
  <c r="AN41" i="2"/>
  <c r="AR88" i="2"/>
  <c r="AQ57" i="2"/>
  <c r="AN57" i="2"/>
  <c r="AS57" i="2"/>
  <c r="AO57" i="2"/>
  <c r="AR57" i="2"/>
  <c r="AS26" i="2"/>
  <c r="AP26" i="2"/>
  <c r="AO26" i="2"/>
  <c r="AQ36" i="2"/>
  <c r="AP48" i="2"/>
  <c r="AQ21" i="2"/>
  <c r="AS48" i="2"/>
  <c r="AS21" i="2"/>
  <c r="AR26" i="2"/>
  <c r="AR87" i="2"/>
  <c r="AQ87" i="2"/>
  <c r="AN26" i="2"/>
  <c r="AP12" i="2"/>
  <c r="AO55" i="2"/>
  <c r="AP65" i="2"/>
  <c r="AQ65" i="2"/>
  <c r="AS65" i="2"/>
  <c r="AO69" i="2"/>
  <c r="AN27" i="2"/>
  <c r="AR55" i="2"/>
  <c r="AQ85" i="2"/>
  <c r="AQ59" i="2"/>
  <c r="AS53" i="2"/>
  <c r="AS85" i="2"/>
  <c r="AO53" i="2"/>
  <c r="AP85" i="2"/>
  <c r="AQ31" i="2"/>
  <c r="AP23" i="2"/>
  <c r="AQ27" i="2"/>
  <c r="AR23" i="2"/>
  <c r="AR31" i="2"/>
  <c r="AS69" i="2"/>
  <c r="AP35" i="2"/>
  <c r="AO31" i="2"/>
  <c r="AS27" i="2"/>
  <c r="AN35" i="2"/>
  <c r="AO23" i="2"/>
  <c r="AR69" i="2"/>
  <c r="AN23" i="2"/>
  <c r="AQ23" i="2"/>
  <c r="AO27" i="2"/>
  <c r="AP27" i="2"/>
  <c r="AQ69" i="2"/>
  <c r="AQ12" i="2"/>
  <c r="AN59" i="2"/>
  <c r="AN12" i="2"/>
  <c r="AS25" i="2"/>
  <c r="AN53" i="2"/>
  <c r="AQ25" i="2"/>
  <c r="AN85" i="2"/>
  <c r="AP25" i="2"/>
  <c r="AO59" i="2"/>
  <c r="AO12" i="2"/>
  <c r="AP59" i="2"/>
  <c r="AN25" i="2"/>
  <c r="AR85" i="2"/>
  <c r="AR12" i="2"/>
  <c r="AR53" i="2"/>
  <c r="AO25" i="2"/>
  <c r="AP53" i="2"/>
  <c r="AR59" i="2"/>
  <c r="AS55" i="2"/>
  <c r="AO36" i="2"/>
  <c r="AR36" i="2"/>
  <c r="AN89" i="2"/>
  <c r="AQ67" i="2"/>
  <c r="AP24" i="2"/>
  <c r="AS36" i="2"/>
  <c r="AR89" i="2"/>
  <c r="AN67" i="2"/>
  <c r="AP76" i="2"/>
  <c r="AN76" i="2"/>
  <c r="AQ89" i="2"/>
  <c r="AP88" i="2"/>
  <c r="AO88" i="2"/>
  <c r="AS76" i="2"/>
  <c r="AP55" i="2"/>
  <c r="AO35" i="2"/>
  <c r="AQ55" i="2"/>
  <c r="AQ24" i="2"/>
  <c r="AO76" i="2"/>
  <c r="AS89" i="2"/>
  <c r="AR24" i="2"/>
  <c r="AN24" i="2"/>
  <c r="AS67" i="2"/>
  <c r="AR67" i="2"/>
  <c r="AQ88" i="2"/>
  <c r="AQ35" i="2"/>
  <c r="AS88" i="2"/>
  <c r="AP69" i="2"/>
  <c r="AP41" i="2"/>
  <c r="AS35" i="2"/>
  <c r="AO24" i="2"/>
  <c r="AN36" i="2"/>
  <c r="AP89" i="2"/>
  <c r="AN65" i="2"/>
  <c r="AO65" i="2"/>
  <c r="AR13" i="2"/>
  <c r="AS13" i="2"/>
  <c r="AP70" i="2"/>
  <c r="AS70" i="2"/>
  <c r="AR70" i="2"/>
  <c r="AQ70" i="2"/>
  <c r="AO70" i="2"/>
  <c r="AN70" i="2"/>
  <c r="AN56" i="2"/>
  <c r="AQ56" i="2"/>
  <c r="AP46" i="2"/>
  <c r="AS46" i="2"/>
  <c r="AN46" i="2"/>
  <c r="AQ46" i="2"/>
  <c r="AO46" i="2"/>
  <c r="AR46" i="2"/>
  <c r="AR44" i="2"/>
  <c r="AN14" i="2"/>
  <c r="AR14" i="2"/>
  <c r="AQ14" i="2"/>
  <c r="AP14" i="2"/>
  <c r="AS14" i="2"/>
  <c r="AO14" i="2"/>
  <c r="AO52" i="2"/>
  <c r="AQ52" i="2"/>
  <c r="AP52" i="2"/>
  <c r="AR52" i="2"/>
  <c r="AS52" i="2"/>
  <c r="AN52" i="2"/>
  <c r="AN44" i="2"/>
  <c r="AP44" i="2"/>
  <c r="AO44" i="2"/>
  <c r="AQ44" i="2"/>
  <c r="AP32" i="2"/>
  <c r="AN32" i="2"/>
  <c r="AO32" i="2"/>
  <c r="AQ32" i="2"/>
  <c r="E81" i="3" l="1"/>
  <c r="G81" i="3" s="1"/>
  <c r="L81" i="3"/>
  <c r="N81" i="3" s="1"/>
  <c r="S81" i="3"/>
  <c r="U81" i="3" s="1"/>
  <c r="E80" i="3"/>
  <c r="G80" i="3" s="1"/>
  <c r="L80" i="3"/>
  <c r="N80" i="3" s="1"/>
  <c r="S80" i="3"/>
  <c r="U80" i="3" s="1"/>
  <c r="E79" i="3"/>
  <c r="G79" i="3" s="1"/>
  <c r="L79" i="3"/>
  <c r="N79" i="3" s="1"/>
  <c r="S79" i="3"/>
  <c r="U79" i="3" s="1"/>
  <c r="E78" i="3"/>
  <c r="H78" i="3" s="1"/>
  <c r="L78" i="3"/>
  <c r="O78" i="3" s="1"/>
  <c r="S78" i="3"/>
  <c r="V78" i="3" s="1"/>
  <c r="E77" i="3"/>
  <c r="G77" i="3" s="1"/>
  <c r="L77" i="3"/>
  <c r="N77" i="3" s="1"/>
  <c r="S77" i="3"/>
  <c r="U77" i="3" s="1"/>
  <c r="E57" i="3"/>
  <c r="H57" i="3" s="1"/>
  <c r="L57" i="3"/>
  <c r="O57" i="3" s="1"/>
  <c r="S57" i="3"/>
  <c r="V57" i="3" s="1"/>
  <c r="E58" i="3"/>
  <c r="G58" i="3" s="1"/>
  <c r="L58" i="3"/>
  <c r="N58" i="3" s="1"/>
  <c r="S58" i="3"/>
  <c r="U58" i="3" s="1"/>
  <c r="E59" i="3"/>
  <c r="H59" i="3" s="1"/>
  <c r="L59" i="3"/>
  <c r="O59" i="3" s="1"/>
  <c r="S59" i="3"/>
  <c r="V59" i="3" s="1"/>
  <c r="E60" i="3"/>
  <c r="G60" i="3" s="1"/>
  <c r="L60" i="3"/>
  <c r="N60" i="3" s="1"/>
  <c r="S60" i="3"/>
  <c r="U60" i="3" s="1"/>
  <c r="E61" i="3"/>
  <c r="H61" i="3" s="1"/>
  <c r="L61" i="3"/>
  <c r="O61" i="3" s="1"/>
  <c r="S61" i="3"/>
  <c r="U61" i="3" s="1"/>
  <c r="E62" i="3"/>
  <c r="G62" i="3" s="1"/>
  <c r="L62" i="3"/>
  <c r="N62" i="3" s="1"/>
  <c r="S62" i="3"/>
  <c r="U62" i="3" s="1"/>
  <c r="E63" i="3"/>
  <c r="H63" i="3" s="1"/>
  <c r="L63" i="3"/>
  <c r="O63" i="3" s="1"/>
  <c r="S63" i="3"/>
  <c r="V63" i="3" s="1"/>
  <c r="E64" i="3"/>
  <c r="G64" i="3" s="1"/>
  <c r="L64" i="3"/>
  <c r="N64" i="3" s="1"/>
  <c r="S64" i="3"/>
  <c r="U64" i="3" s="1"/>
  <c r="E65" i="3"/>
  <c r="H65" i="3" s="1"/>
  <c r="L65" i="3"/>
  <c r="O65" i="3" s="1"/>
  <c r="S65" i="3"/>
  <c r="V65" i="3" s="1"/>
  <c r="E66" i="3"/>
  <c r="G66" i="3" s="1"/>
  <c r="L66" i="3"/>
  <c r="N66" i="3" s="1"/>
  <c r="S66" i="3"/>
  <c r="U66" i="3" s="1"/>
  <c r="E67" i="3"/>
  <c r="G67" i="3" s="1"/>
  <c r="L67" i="3"/>
  <c r="O67" i="3" s="1"/>
  <c r="S67" i="3"/>
  <c r="V67" i="3" s="1"/>
  <c r="E68" i="3"/>
  <c r="G68" i="3" s="1"/>
  <c r="L68" i="3"/>
  <c r="N68" i="3" s="1"/>
  <c r="S68" i="3"/>
  <c r="U68" i="3" s="1"/>
  <c r="E69" i="3"/>
  <c r="H69" i="3" s="1"/>
  <c r="L69" i="3"/>
  <c r="O69" i="3" s="1"/>
  <c r="S69" i="3"/>
  <c r="V69" i="3" s="1"/>
  <c r="E70" i="3"/>
  <c r="G70" i="3" s="1"/>
  <c r="L70" i="3"/>
  <c r="N70" i="3" s="1"/>
  <c r="S70" i="3"/>
  <c r="U70" i="3" s="1"/>
  <c r="E71" i="3"/>
  <c r="G71" i="3" s="1"/>
  <c r="L71" i="3"/>
  <c r="N71" i="3" s="1"/>
  <c r="S71" i="3"/>
  <c r="U71" i="3" s="1"/>
  <c r="E72" i="3"/>
  <c r="G72" i="3" s="1"/>
  <c r="L72" i="3"/>
  <c r="N72" i="3" s="1"/>
  <c r="S72" i="3"/>
  <c r="U72" i="3" s="1"/>
  <c r="E73" i="3"/>
  <c r="H73" i="3" s="1"/>
  <c r="L73" i="3"/>
  <c r="O73" i="3" s="1"/>
  <c r="S73" i="3"/>
  <c r="V73" i="3" s="1"/>
  <c r="E74" i="3"/>
  <c r="G74" i="3" s="1"/>
  <c r="L74" i="3"/>
  <c r="N74" i="3" s="1"/>
  <c r="S74" i="3"/>
  <c r="U74" i="3" s="1"/>
  <c r="E75" i="3"/>
  <c r="G75" i="3" s="1"/>
  <c r="L75" i="3"/>
  <c r="O75" i="3" s="1"/>
  <c r="S75" i="3"/>
  <c r="V75" i="3" s="1"/>
  <c r="E76" i="3"/>
  <c r="G76" i="3" s="1"/>
  <c r="L76" i="3"/>
  <c r="N76" i="3" s="1"/>
  <c r="S76" i="3"/>
  <c r="U76" i="3" s="1"/>
  <c r="E55" i="3"/>
  <c r="H55" i="3" s="1"/>
  <c r="E54" i="3"/>
  <c r="H54" i="3" s="1"/>
  <c r="E53" i="3"/>
  <c r="G53" i="3" s="1"/>
  <c r="E52" i="3"/>
  <c r="H52" i="3" s="1"/>
  <c r="E51" i="3"/>
  <c r="H51" i="3" s="1"/>
  <c r="E50" i="3"/>
  <c r="H50" i="3" s="1"/>
  <c r="E49" i="3"/>
  <c r="G49" i="3" s="1"/>
  <c r="E48" i="3"/>
  <c r="H48" i="3" s="1"/>
  <c r="E47" i="3"/>
  <c r="H47" i="3" s="1"/>
  <c r="E46" i="3"/>
  <c r="H46" i="3" s="1"/>
  <c r="E45" i="3"/>
  <c r="G45" i="3" s="1"/>
  <c r="E44" i="3"/>
  <c r="H44" i="3" s="1"/>
  <c r="E43" i="3"/>
  <c r="H43" i="3" s="1"/>
  <c r="E42" i="3"/>
  <c r="H42" i="3" s="1"/>
  <c r="E41" i="3"/>
  <c r="G41" i="3" s="1"/>
  <c r="E40" i="3"/>
  <c r="H40" i="3" s="1"/>
  <c r="E39" i="3"/>
  <c r="H39" i="3" s="1"/>
  <c r="E38" i="3"/>
  <c r="H38" i="3" s="1"/>
  <c r="E37" i="3"/>
  <c r="G37" i="3" s="1"/>
  <c r="E36" i="3"/>
  <c r="H36" i="3" s="1"/>
  <c r="E35" i="3"/>
  <c r="H35" i="3" s="1"/>
  <c r="E34" i="3"/>
  <c r="H34" i="3" s="1"/>
  <c r="E33" i="3"/>
  <c r="G33" i="3" s="1"/>
  <c r="E32" i="3"/>
  <c r="H32" i="3" s="1"/>
  <c r="E31" i="3"/>
  <c r="H31" i="3" s="1"/>
  <c r="E30" i="3"/>
  <c r="G30" i="3" s="1"/>
  <c r="E29" i="3"/>
  <c r="G29" i="3" s="1"/>
  <c r="E28" i="3"/>
  <c r="H28" i="3" s="1"/>
  <c r="E27" i="3"/>
  <c r="H27" i="3" s="1"/>
  <c r="E26" i="3"/>
  <c r="G26" i="3" s="1"/>
  <c r="E25" i="3"/>
  <c r="G25" i="3" s="1"/>
  <c r="E24" i="3"/>
  <c r="H24" i="3" s="1"/>
  <c r="E23" i="3"/>
  <c r="H23" i="3" s="1"/>
  <c r="E22" i="3"/>
  <c r="G22" i="3" s="1"/>
  <c r="E21" i="3"/>
  <c r="G21" i="3" s="1"/>
  <c r="E20" i="3"/>
  <c r="H20" i="3" s="1"/>
  <c r="E19" i="3"/>
  <c r="H19" i="3" s="1"/>
  <c r="E18" i="3"/>
  <c r="G18" i="3" s="1"/>
  <c r="E17" i="3"/>
  <c r="G17" i="3" s="1"/>
  <c r="E16" i="3"/>
  <c r="H16" i="3" s="1"/>
  <c r="E15" i="3"/>
  <c r="H15" i="3" s="1"/>
  <c r="E14" i="3"/>
  <c r="G14" i="3" s="1"/>
  <c r="E13" i="3"/>
  <c r="G13" i="3" s="1"/>
  <c r="E12" i="3"/>
  <c r="H12" i="3" s="1"/>
  <c r="E11" i="3"/>
  <c r="H11" i="3" s="1"/>
  <c r="E10" i="3"/>
  <c r="G10" i="3" s="1"/>
  <c r="E9" i="3"/>
  <c r="G9" i="3" s="1"/>
  <c r="E8" i="3"/>
  <c r="H8" i="3" s="1"/>
  <c r="E7" i="3"/>
  <c r="H7" i="3" s="1"/>
  <c r="E6" i="3"/>
  <c r="G6" i="3" s="1"/>
  <c r="E5" i="3"/>
  <c r="G5" i="3" s="1"/>
  <c r="AO42" i="2" l="1"/>
  <c r="AP42" i="2"/>
  <c r="AN42" i="2"/>
  <c r="AQ42" i="2"/>
  <c r="AN13" i="2"/>
  <c r="AO13" i="2"/>
  <c r="AQ13" i="2"/>
  <c r="AP13" i="2"/>
  <c r="O81" i="3"/>
  <c r="Q81" i="3" s="1"/>
  <c r="AB81" i="3" s="1"/>
  <c r="AC81" i="3" s="1"/>
  <c r="V81" i="3"/>
  <c r="X81" i="3" s="1"/>
  <c r="AD81" i="3" s="1"/>
  <c r="AE81" i="3" s="1"/>
  <c r="H81" i="3"/>
  <c r="J81" i="3" s="1"/>
  <c r="Z81" i="3" s="1"/>
  <c r="H79" i="3"/>
  <c r="J79" i="3" s="1"/>
  <c r="Z79" i="3" s="1"/>
  <c r="AA79" i="3" s="1"/>
  <c r="N78" i="3"/>
  <c r="Q78" i="3" s="1"/>
  <c r="AB78" i="3" s="1"/>
  <c r="AC78" i="3" s="1"/>
  <c r="G78" i="3"/>
  <c r="J78" i="3" s="1"/>
  <c r="Z78" i="3" s="1"/>
  <c r="V79" i="3"/>
  <c r="X79" i="3" s="1"/>
  <c r="AD79" i="3" s="1"/>
  <c r="AE79" i="3" s="1"/>
  <c r="O79" i="3"/>
  <c r="Q79" i="3" s="1"/>
  <c r="AB79" i="3" s="1"/>
  <c r="AC79" i="3" s="1"/>
  <c r="O80" i="3"/>
  <c r="Q80" i="3" s="1"/>
  <c r="AB80" i="3" s="1"/>
  <c r="AC80" i="3" s="1"/>
  <c r="V80" i="3"/>
  <c r="X80" i="3" s="1"/>
  <c r="AD80" i="3" s="1"/>
  <c r="AE80" i="3" s="1"/>
  <c r="H80" i="3"/>
  <c r="J80" i="3" s="1"/>
  <c r="Z80" i="3" s="1"/>
  <c r="U78" i="3"/>
  <c r="X78" i="3" s="1"/>
  <c r="AD78" i="3" s="1"/>
  <c r="AE78" i="3" s="1"/>
  <c r="H75" i="3"/>
  <c r="J75" i="3" s="1"/>
  <c r="Z75" i="3" s="1"/>
  <c r="AA75" i="3" s="1"/>
  <c r="V72" i="3"/>
  <c r="X72" i="3" s="1"/>
  <c r="AD72" i="3" s="1"/>
  <c r="AE72" i="3" s="1"/>
  <c r="U67" i="3"/>
  <c r="X67" i="3" s="1"/>
  <c r="AD67" i="3" s="1"/>
  <c r="AE67" i="3" s="1"/>
  <c r="O77" i="3"/>
  <c r="Q77" i="3" s="1"/>
  <c r="AB77" i="3" s="1"/>
  <c r="AC77" i="3" s="1"/>
  <c r="U75" i="3"/>
  <c r="X75" i="3" s="1"/>
  <c r="AD75" i="3" s="1"/>
  <c r="AE75" i="3" s="1"/>
  <c r="U73" i="3"/>
  <c r="X73" i="3" s="1"/>
  <c r="AD73" i="3" s="1"/>
  <c r="AE73" i="3" s="1"/>
  <c r="V77" i="3"/>
  <c r="X77" i="3" s="1"/>
  <c r="AD77" i="3" s="1"/>
  <c r="AE77" i="3" s="1"/>
  <c r="H77" i="3"/>
  <c r="J77" i="3" s="1"/>
  <c r="Z77" i="3" s="1"/>
  <c r="H71" i="3"/>
  <c r="J71" i="3" s="1"/>
  <c r="Z71" i="3" s="1"/>
  <c r="AA71" i="3" s="1"/>
  <c r="G65" i="3"/>
  <c r="J65" i="3" s="1"/>
  <c r="Z65" i="3" s="1"/>
  <c r="AA65" i="3" s="1"/>
  <c r="G61" i="3"/>
  <c r="J61" i="3" s="1"/>
  <c r="Z61" i="3" s="1"/>
  <c r="AA61" i="3" s="1"/>
  <c r="G59" i="3"/>
  <c r="J59" i="3" s="1"/>
  <c r="Z59" i="3" s="1"/>
  <c r="AA59" i="3" s="1"/>
  <c r="H64" i="3"/>
  <c r="J64" i="3" s="1"/>
  <c r="Z64" i="3" s="1"/>
  <c r="AA64" i="3" s="1"/>
  <c r="H76" i="3"/>
  <c r="J76" i="3" s="1"/>
  <c r="Z76" i="3" s="1"/>
  <c r="AA76" i="3" s="1"/>
  <c r="H72" i="3"/>
  <c r="J72" i="3" s="1"/>
  <c r="Z72" i="3" s="1"/>
  <c r="AA72" i="3" s="1"/>
  <c r="N63" i="3"/>
  <c r="Q63" i="3" s="1"/>
  <c r="AB63" i="3" s="1"/>
  <c r="AC63" i="3" s="1"/>
  <c r="N61" i="3"/>
  <c r="Q61" i="3" s="1"/>
  <c r="AB61" i="3" s="1"/>
  <c r="AC61" i="3" s="1"/>
  <c r="V61" i="3"/>
  <c r="X61" i="3" s="1"/>
  <c r="AD61" i="3" s="1"/>
  <c r="AE61" i="3" s="1"/>
  <c r="U59" i="3"/>
  <c r="X59" i="3" s="1"/>
  <c r="AD59" i="3" s="1"/>
  <c r="AE59" i="3" s="1"/>
  <c r="U57" i="3"/>
  <c r="X57" i="3" s="1"/>
  <c r="AD57" i="3" s="1"/>
  <c r="AE57" i="3" s="1"/>
  <c r="V76" i="3"/>
  <c r="X76" i="3" s="1"/>
  <c r="AD76" i="3" s="1"/>
  <c r="AE76" i="3" s="1"/>
  <c r="V64" i="3"/>
  <c r="X64" i="3" s="1"/>
  <c r="AD64" i="3" s="1"/>
  <c r="AE64" i="3" s="1"/>
  <c r="N75" i="3"/>
  <c r="Q75" i="3" s="1"/>
  <c r="AB75" i="3" s="1"/>
  <c r="N59" i="3"/>
  <c r="Q59" i="3" s="1"/>
  <c r="AB59" i="3" s="1"/>
  <c r="AC59" i="3" s="1"/>
  <c r="O68" i="3"/>
  <c r="Q68" i="3" s="1"/>
  <c r="AB68" i="3" s="1"/>
  <c r="AC68" i="3" s="1"/>
  <c r="N73" i="3"/>
  <c r="Q73" i="3" s="1"/>
  <c r="AB73" i="3" s="1"/>
  <c r="AC73" i="3" s="1"/>
  <c r="N57" i="3"/>
  <c r="Q57" i="3" s="1"/>
  <c r="AB57" i="3" s="1"/>
  <c r="AC57" i="3" s="1"/>
  <c r="O76" i="3"/>
  <c r="Q76" i="3" s="1"/>
  <c r="AB76" i="3" s="1"/>
  <c r="AC76" i="3" s="1"/>
  <c r="N69" i="3"/>
  <c r="Q69" i="3" s="1"/>
  <c r="AB69" i="3" s="1"/>
  <c r="AC69" i="3" s="1"/>
  <c r="N65" i="3"/>
  <c r="Q65" i="3" s="1"/>
  <c r="AB65" i="3" s="1"/>
  <c r="AC65" i="3" s="1"/>
  <c r="V71" i="3"/>
  <c r="X71" i="3" s="1"/>
  <c r="AD71" i="3" s="1"/>
  <c r="AE71" i="3" s="1"/>
  <c r="G69" i="3"/>
  <c r="J69" i="3" s="1"/>
  <c r="Z69" i="3" s="1"/>
  <c r="G73" i="3"/>
  <c r="J73" i="3" s="1"/>
  <c r="Z73" i="3" s="1"/>
  <c r="N67" i="3"/>
  <c r="Q67" i="3" s="1"/>
  <c r="AB67" i="3" s="1"/>
  <c r="AC67" i="3" s="1"/>
  <c r="U65" i="3"/>
  <c r="X65" i="3" s="1"/>
  <c r="AD65" i="3" s="1"/>
  <c r="AE65" i="3" s="1"/>
  <c r="G63" i="3"/>
  <c r="J63" i="3" s="1"/>
  <c r="Z63" i="3" s="1"/>
  <c r="AA63" i="3" s="1"/>
  <c r="O60" i="3"/>
  <c r="Q60" i="3" s="1"/>
  <c r="AB60" i="3" s="1"/>
  <c r="AC60" i="3" s="1"/>
  <c r="O71" i="3"/>
  <c r="Q71" i="3" s="1"/>
  <c r="AB71" i="3" s="1"/>
  <c r="H67" i="3"/>
  <c r="J67" i="3" s="1"/>
  <c r="Z67" i="3" s="1"/>
  <c r="G57" i="3"/>
  <c r="J57" i="3" s="1"/>
  <c r="Z57" i="3" s="1"/>
  <c r="U69" i="3"/>
  <c r="X69" i="3" s="1"/>
  <c r="AD69" i="3" s="1"/>
  <c r="AE69" i="3" s="1"/>
  <c r="U63" i="3"/>
  <c r="X63" i="3" s="1"/>
  <c r="AD63" i="3" s="1"/>
  <c r="AE63" i="3" s="1"/>
  <c r="V74" i="3"/>
  <c r="X74" i="3" s="1"/>
  <c r="AD74" i="3" s="1"/>
  <c r="AE74" i="3" s="1"/>
  <c r="H74" i="3"/>
  <c r="J74" i="3" s="1"/>
  <c r="Z74" i="3" s="1"/>
  <c r="O70" i="3"/>
  <c r="Q70" i="3" s="1"/>
  <c r="AB70" i="3" s="1"/>
  <c r="AC70" i="3" s="1"/>
  <c r="V66" i="3"/>
  <c r="X66" i="3" s="1"/>
  <c r="AD66" i="3" s="1"/>
  <c r="AE66" i="3" s="1"/>
  <c r="H66" i="3"/>
  <c r="J66" i="3" s="1"/>
  <c r="Z66" i="3" s="1"/>
  <c r="O62" i="3"/>
  <c r="Q62" i="3" s="1"/>
  <c r="AB62" i="3" s="1"/>
  <c r="AC62" i="3" s="1"/>
  <c r="V58" i="3"/>
  <c r="X58" i="3" s="1"/>
  <c r="AD58" i="3" s="1"/>
  <c r="AE58" i="3" s="1"/>
  <c r="H58" i="3"/>
  <c r="J58" i="3" s="1"/>
  <c r="Z58" i="3" s="1"/>
  <c r="O72" i="3"/>
  <c r="Q72" i="3" s="1"/>
  <c r="AB72" i="3" s="1"/>
  <c r="V68" i="3"/>
  <c r="X68" i="3" s="1"/>
  <c r="AD68" i="3" s="1"/>
  <c r="AE68" i="3" s="1"/>
  <c r="H68" i="3"/>
  <c r="J68" i="3" s="1"/>
  <c r="Z68" i="3" s="1"/>
  <c r="O64" i="3"/>
  <c r="Q64" i="3" s="1"/>
  <c r="AB64" i="3" s="1"/>
  <c r="V60" i="3"/>
  <c r="X60" i="3" s="1"/>
  <c r="AD60" i="3" s="1"/>
  <c r="AE60" i="3" s="1"/>
  <c r="H60" i="3"/>
  <c r="J60" i="3" s="1"/>
  <c r="Z60" i="3" s="1"/>
  <c r="O74" i="3"/>
  <c r="Q74" i="3" s="1"/>
  <c r="AB74" i="3" s="1"/>
  <c r="AC74" i="3" s="1"/>
  <c r="V70" i="3"/>
  <c r="X70" i="3" s="1"/>
  <c r="AD70" i="3" s="1"/>
  <c r="AE70" i="3" s="1"/>
  <c r="H70" i="3"/>
  <c r="J70" i="3" s="1"/>
  <c r="Z70" i="3" s="1"/>
  <c r="O66" i="3"/>
  <c r="Q66" i="3" s="1"/>
  <c r="AB66" i="3" s="1"/>
  <c r="AC66" i="3" s="1"/>
  <c r="V62" i="3"/>
  <c r="X62" i="3" s="1"/>
  <c r="AD62" i="3" s="1"/>
  <c r="AE62" i="3" s="1"/>
  <c r="H62" i="3"/>
  <c r="J62" i="3" s="1"/>
  <c r="Z62" i="3" s="1"/>
  <c r="O58" i="3"/>
  <c r="Q58" i="3" s="1"/>
  <c r="AB58" i="3" s="1"/>
  <c r="AC58" i="3" s="1"/>
  <c r="H5" i="3"/>
  <c r="J5" i="3" s="1"/>
  <c r="L5" i="3" s="1"/>
  <c r="M5" i="3" s="1"/>
  <c r="H49" i="3"/>
  <c r="J49" i="3" s="1"/>
  <c r="L49" i="3" s="1"/>
  <c r="M49" i="3" s="1"/>
  <c r="H22" i="3"/>
  <c r="J22" i="3" s="1"/>
  <c r="L22" i="3" s="1"/>
  <c r="M22" i="3" s="1"/>
  <c r="H10" i="3"/>
  <c r="J10" i="3" s="1"/>
  <c r="L10" i="3" s="1"/>
  <c r="M10" i="3" s="1"/>
  <c r="G24" i="3"/>
  <c r="J24" i="3" s="1"/>
  <c r="L24" i="3" s="1"/>
  <c r="M24" i="3" s="1"/>
  <c r="G40" i="3"/>
  <c r="J40" i="3" s="1"/>
  <c r="L40" i="3" s="1"/>
  <c r="M40" i="3" s="1"/>
  <c r="H13" i="3"/>
  <c r="J13" i="3" s="1"/>
  <c r="L13" i="3" s="1"/>
  <c r="M13" i="3" s="1"/>
  <c r="H25" i="3"/>
  <c r="J25" i="3" s="1"/>
  <c r="L25" i="3" s="1"/>
  <c r="M25" i="3" s="1"/>
  <c r="G44" i="3"/>
  <c r="J44" i="3" s="1"/>
  <c r="L44" i="3" s="1"/>
  <c r="M44" i="3" s="1"/>
  <c r="H14" i="3"/>
  <c r="J14" i="3" s="1"/>
  <c r="L14" i="3" s="1"/>
  <c r="M14" i="3" s="1"/>
  <c r="H45" i="3"/>
  <c r="J45" i="3" s="1"/>
  <c r="L45" i="3" s="1"/>
  <c r="M45" i="3" s="1"/>
  <c r="H33" i="3"/>
  <c r="J33" i="3" s="1"/>
  <c r="L33" i="3" s="1"/>
  <c r="M33" i="3" s="1"/>
  <c r="G16" i="3"/>
  <c r="J16" i="3" s="1"/>
  <c r="L16" i="3" s="1"/>
  <c r="M16" i="3" s="1"/>
  <c r="G28" i="3"/>
  <c r="J28" i="3" s="1"/>
  <c r="L28" i="3" s="1"/>
  <c r="M28" i="3" s="1"/>
  <c r="H6" i="3"/>
  <c r="J6" i="3" s="1"/>
  <c r="L6" i="3" s="1"/>
  <c r="M6" i="3" s="1"/>
  <c r="G20" i="3"/>
  <c r="J20" i="3" s="1"/>
  <c r="L20" i="3" s="1"/>
  <c r="M20" i="3" s="1"/>
  <c r="H29" i="3"/>
  <c r="J29" i="3" s="1"/>
  <c r="L29" i="3" s="1"/>
  <c r="M29" i="3" s="1"/>
  <c r="G12" i="3"/>
  <c r="J12" i="3" s="1"/>
  <c r="L12" i="3" s="1"/>
  <c r="M12" i="3" s="1"/>
  <c r="H21" i="3"/>
  <c r="J21" i="3" s="1"/>
  <c r="L21" i="3" s="1"/>
  <c r="M21" i="3" s="1"/>
  <c r="H30" i="3"/>
  <c r="J30" i="3" s="1"/>
  <c r="L30" i="3" s="1"/>
  <c r="M30" i="3" s="1"/>
  <c r="G8" i="3"/>
  <c r="J8" i="3" s="1"/>
  <c r="L8" i="3" s="1"/>
  <c r="M8" i="3" s="1"/>
  <c r="H17" i="3"/>
  <c r="J17" i="3" s="1"/>
  <c r="L17" i="3" s="1"/>
  <c r="M17" i="3" s="1"/>
  <c r="H26" i="3"/>
  <c r="J26" i="3" s="1"/>
  <c r="L26" i="3" s="1"/>
  <c r="M26" i="3" s="1"/>
  <c r="G36" i="3"/>
  <c r="J36" i="3" s="1"/>
  <c r="L36" i="3" s="1"/>
  <c r="M36" i="3" s="1"/>
  <c r="H41" i="3"/>
  <c r="J41" i="3" s="1"/>
  <c r="L41" i="3" s="1"/>
  <c r="M41" i="3" s="1"/>
  <c r="G52" i="3"/>
  <c r="J52" i="3" s="1"/>
  <c r="L52" i="3" s="1"/>
  <c r="M52" i="3" s="1"/>
  <c r="H9" i="3"/>
  <c r="J9" i="3" s="1"/>
  <c r="L9" i="3" s="1"/>
  <c r="M9" i="3" s="1"/>
  <c r="H18" i="3"/>
  <c r="J18" i="3" s="1"/>
  <c r="L18" i="3" s="1"/>
  <c r="M18" i="3" s="1"/>
  <c r="G32" i="3"/>
  <c r="J32" i="3" s="1"/>
  <c r="L32" i="3" s="1"/>
  <c r="M32" i="3" s="1"/>
  <c r="H37" i="3"/>
  <c r="J37" i="3" s="1"/>
  <c r="L37" i="3" s="1"/>
  <c r="M37" i="3" s="1"/>
  <c r="G48" i="3"/>
  <c r="J48" i="3" s="1"/>
  <c r="L48" i="3" s="1"/>
  <c r="M48" i="3" s="1"/>
  <c r="H53" i="3"/>
  <c r="J53" i="3" s="1"/>
  <c r="L53" i="3" s="1"/>
  <c r="M53" i="3" s="1"/>
  <c r="G7" i="3"/>
  <c r="J7" i="3" s="1"/>
  <c r="L7" i="3" s="1"/>
  <c r="M7" i="3" s="1"/>
  <c r="G11" i="3"/>
  <c r="J11" i="3" s="1"/>
  <c r="L11" i="3" s="1"/>
  <c r="M11" i="3" s="1"/>
  <c r="G15" i="3"/>
  <c r="J15" i="3" s="1"/>
  <c r="L15" i="3" s="1"/>
  <c r="M15" i="3" s="1"/>
  <c r="G19" i="3"/>
  <c r="J19" i="3" s="1"/>
  <c r="L19" i="3" s="1"/>
  <c r="M19" i="3" s="1"/>
  <c r="G23" i="3"/>
  <c r="J23" i="3" s="1"/>
  <c r="L23" i="3" s="1"/>
  <c r="M23" i="3" s="1"/>
  <c r="G27" i="3"/>
  <c r="J27" i="3" s="1"/>
  <c r="L27" i="3" s="1"/>
  <c r="M27" i="3" s="1"/>
  <c r="G31" i="3"/>
  <c r="J31" i="3" s="1"/>
  <c r="L31" i="3" s="1"/>
  <c r="M31" i="3" s="1"/>
  <c r="G35" i="3"/>
  <c r="J35" i="3" s="1"/>
  <c r="L35" i="3" s="1"/>
  <c r="M35" i="3" s="1"/>
  <c r="G39" i="3"/>
  <c r="J39" i="3" s="1"/>
  <c r="L39" i="3" s="1"/>
  <c r="M39" i="3" s="1"/>
  <c r="G43" i="3"/>
  <c r="J43" i="3" s="1"/>
  <c r="L43" i="3" s="1"/>
  <c r="M43" i="3" s="1"/>
  <c r="G47" i="3"/>
  <c r="J47" i="3" s="1"/>
  <c r="L47" i="3" s="1"/>
  <c r="M47" i="3" s="1"/>
  <c r="G51" i="3"/>
  <c r="J51" i="3" s="1"/>
  <c r="L51" i="3" s="1"/>
  <c r="M51" i="3" s="1"/>
  <c r="G55" i="3"/>
  <c r="J55" i="3" s="1"/>
  <c r="L55" i="3" s="1"/>
  <c r="M55" i="3" s="1"/>
  <c r="G34" i="3"/>
  <c r="J34" i="3" s="1"/>
  <c r="L34" i="3" s="1"/>
  <c r="M34" i="3" s="1"/>
  <c r="G38" i="3"/>
  <c r="J38" i="3" s="1"/>
  <c r="L38" i="3" s="1"/>
  <c r="M38" i="3" s="1"/>
  <c r="G42" i="3"/>
  <c r="J42" i="3" s="1"/>
  <c r="L42" i="3" s="1"/>
  <c r="M42" i="3" s="1"/>
  <c r="G46" i="3"/>
  <c r="J46" i="3" s="1"/>
  <c r="L46" i="3" s="1"/>
  <c r="M46" i="3" s="1"/>
  <c r="G50" i="3"/>
  <c r="J50" i="3" s="1"/>
  <c r="L50" i="3" s="1"/>
  <c r="M50" i="3" s="1"/>
  <c r="G54" i="3"/>
  <c r="J54" i="3" s="1"/>
  <c r="L54" i="3" s="1"/>
  <c r="M54" i="3" s="1"/>
  <c r="AF81" i="3" l="1"/>
  <c r="AA81" i="3"/>
  <c r="AF79" i="3"/>
  <c r="AF80" i="3"/>
  <c r="AA80" i="3"/>
  <c r="AF78" i="3"/>
  <c r="AA78" i="3"/>
  <c r="AF77" i="3"/>
  <c r="AA77" i="3"/>
  <c r="AF61" i="3"/>
  <c r="AF59" i="3"/>
  <c r="AC75" i="3"/>
  <c r="AF75" i="3"/>
  <c r="AF73" i="3"/>
  <c r="AF67" i="3"/>
  <c r="AA67" i="3"/>
  <c r="AC71" i="3"/>
  <c r="AF71" i="3"/>
  <c r="AA69" i="3"/>
  <c r="AF69" i="3"/>
  <c r="AA73" i="3"/>
  <c r="AF65" i="3"/>
  <c r="AF76" i="3"/>
  <c r="AA66" i="3"/>
  <c r="AF66" i="3"/>
  <c r="AF62" i="3"/>
  <c r="AA62" i="3"/>
  <c r="AF68" i="3"/>
  <c r="AA68" i="3"/>
  <c r="AC64" i="3"/>
  <c r="AF64" i="3"/>
  <c r="AA74" i="3"/>
  <c r="AF74" i="3"/>
  <c r="AC72" i="3"/>
  <c r="AF72" i="3"/>
  <c r="AA58" i="3"/>
  <c r="AF58" i="3"/>
  <c r="AF60" i="3"/>
  <c r="AA60" i="3"/>
  <c r="AF70" i="3"/>
  <c r="AA70" i="3"/>
  <c r="AF63" i="3"/>
  <c r="AF57" i="3"/>
  <c r="AA57" i="3"/>
  <c r="AV8" i="2" l="1"/>
</calcChain>
</file>

<file path=xl/sharedStrings.xml><?xml version="1.0" encoding="utf-8"?>
<sst xmlns="http://schemas.openxmlformats.org/spreadsheetml/2006/main" count="1659" uniqueCount="102">
  <si>
    <t>R</t>
  </si>
  <si>
    <t>handedness</t>
  </si>
  <si>
    <t>batter</t>
  </si>
  <si>
    <t>events</t>
  </si>
  <si>
    <t>description</t>
  </si>
  <si>
    <t>hit_location</t>
  </si>
  <si>
    <t>bb_type</t>
  </si>
  <si>
    <t>hc_x</t>
  </si>
  <si>
    <t>hc_y</t>
  </si>
  <si>
    <t>hit_distance_sc</t>
  </si>
  <si>
    <t>launch_speed</t>
  </si>
  <si>
    <t>launch_angle</t>
  </si>
  <si>
    <t>Jose Altuve</t>
  </si>
  <si>
    <t>field_out</t>
  </si>
  <si>
    <t>hit_into_play</t>
  </si>
  <si>
    <t>NA</t>
  </si>
  <si>
    <t>ground_ball</t>
  </si>
  <si>
    <t>fly_ball</t>
  </si>
  <si>
    <t>single</t>
  </si>
  <si>
    <t>hit_into_play_no_out</t>
  </si>
  <si>
    <t>line_drive</t>
  </si>
  <si>
    <t>force_out</t>
  </si>
  <si>
    <t>double</t>
  </si>
  <si>
    <t>hit_into_play_score</t>
  </si>
  <si>
    <t>popup</t>
  </si>
  <si>
    <t>fielders_choice_out</t>
  </si>
  <si>
    <t>grounded_into_double_play</t>
  </si>
  <si>
    <t>Hangtime 1</t>
  </si>
  <si>
    <t>Hangtime 2</t>
  </si>
  <si>
    <t>x</t>
  </si>
  <si>
    <t>y</t>
  </si>
  <si>
    <t>hangtime</t>
  </si>
  <si>
    <t xml:space="preserve">x: </t>
  </si>
  <si>
    <t>y:</t>
  </si>
  <si>
    <t>start</t>
  </si>
  <si>
    <t>cruise</t>
  </si>
  <si>
    <t>ramp-up v:</t>
  </si>
  <si>
    <t>cruise v:</t>
  </si>
  <si>
    <t>ramp-up t:</t>
  </si>
  <si>
    <t>sec</t>
  </si>
  <si>
    <t>ramp-up d:</t>
  </si>
  <si>
    <t>ft</t>
  </si>
  <si>
    <t>time to landing spot</t>
  </si>
  <si>
    <t>total time</t>
  </si>
  <si>
    <t>single:</t>
  </si>
  <si>
    <t>linear weights:</t>
  </si>
  <si>
    <t>out</t>
  </si>
  <si>
    <t>PENALTY/REWARD</t>
  </si>
  <si>
    <t>TOTAL</t>
  </si>
  <si>
    <t>m</t>
  </si>
  <si>
    <t>LF Location:</t>
  </si>
  <si>
    <t>CF Location:</t>
  </si>
  <si>
    <t>RF Location:</t>
  </si>
  <si>
    <t>LF distance to landing</t>
  </si>
  <si>
    <t>CF distance to landing</t>
  </si>
  <si>
    <t>RF distance to landing</t>
  </si>
  <si>
    <t>LF</t>
  </si>
  <si>
    <t>CF</t>
  </si>
  <si>
    <t>RF</t>
  </si>
  <si>
    <t>NET</t>
  </si>
  <si>
    <t>OUTCOME</t>
  </si>
  <si>
    <t>u</t>
  </si>
  <si>
    <t>u/s</t>
  </si>
  <si>
    <t>REWARD:</t>
  </si>
  <si>
    <t>(less is better)</t>
  </si>
  <si>
    <t>sac_fly</t>
  </si>
  <si>
    <t>triple</t>
  </si>
  <si>
    <t>EV_ms</t>
  </si>
  <si>
    <t>theta</t>
  </si>
  <si>
    <t>mass_baseball</t>
  </si>
  <si>
    <t>force_gravity</t>
  </si>
  <si>
    <t>force_drag</t>
  </si>
  <si>
    <t>force_accel</t>
  </si>
  <si>
    <t>new_accel</t>
  </si>
  <si>
    <t>g1</t>
  </si>
  <si>
    <t>g2</t>
  </si>
  <si>
    <t>max_height</t>
  </si>
  <si>
    <t>start_height</t>
  </si>
  <si>
    <t>a</t>
  </si>
  <si>
    <t>b</t>
  </si>
  <si>
    <t>c</t>
  </si>
  <si>
    <t>d</t>
  </si>
  <si>
    <t>L</t>
  </si>
  <si>
    <t>HT FINAL</t>
  </si>
  <si>
    <t>game_date</t>
  </si>
  <si>
    <t>date</t>
  </si>
  <si>
    <t>Turner, Trea</t>
  </si>
  <si>
    <t>WEIGHT</t>
  </si>
  <si>
    <t>DAYS BACK</t>
  </si>
  <si>
    <t>WEIGHT VARIABLES</t>
  </si>
  <si>
    <t>RUNNING PROGRAM</t>
  </si>
  <si>
    <t>RF:</t>
  </si>
  <si>
    <t>CF:</t>
  </si>
  <si>
    <t>LF:</t>
  </si>
  <si>
    <t>MINx</t>
  </si>
  <si>
    <t>MAXx</t>
  </si>
  <si>
    <t>STEPx</t>
  </si>
  <si>
    <t>MINy</t>
  </si>
  <si>
    <t>MAXy</t>
  </si>
  <si>
    <t>STEPy</t>
  </si>
  <si>
    <t>TOTAL STEPS=</t>
  </si>
  <si>
    <t>%COMPLETED: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</si>
</sst>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</font>
    <font>
      <sz val="12"/>
      <color theme="0" tint="-0.499984740745262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2"/>
      <color rgb="FF000000"/>
      <name val="Calibri"/>
      <family val="2"/>
    </font>
    <font>
      <sz val="12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Border="1"/>
    <xf numFmtId="0" fontId="0" fillId="0" borderId="0" xfId="0" applyFill="1" applyBorder="1"/>
    <xf numFmtId="0" fontId="0" fillId="3" borderId="1" xfId="0" applyFill="1" applyBorder="1"/>
    <xf numFmtId="2" fontId="0" fillId="0" borderId="0" xfId="0" applyNumberFormat="1"/>
    <xf numFmtId="164" fontId="0" fillId="0" borderId="0" xfId="0" applyNumberFormat="1"/>
    <xf numFmtId="0" fontId="1" fillId="4" borderId="0" xfId="0" applyFont="1" applyFill="1"/>
    <xf numFmtId="0" fontId="3" fillId="5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/>
    <xf numFmtId="2" fontId="1" fillId="0" borderId="0" xfId="0" applyNumberFormat="1" applyFont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3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0" borderId="0" xfId="0" applyAlignment="1">
      <alignment horizontal="right"/>
    </xf>
    <xf numFmtId="0" fontId="0" fillId="6" borderId="1" xfId="0" applyFill="1" applyBorder="1"/>
    <xf numFmtId="0" fontId="7" fillId="2" borderId="1" xfId="0" applyFont="1" applyFill="1" applyBorder="1"/>
    <xf numFmtId="0" fontId="2" fillId="0" borderId="0" xfId="0" applyFont="1" applyAlignment="1">
      <alignment horizontal="center"/>
    </xf>
    <xf numFmtId="0" fontId="6" fillId="7" borderId="0" xfId="0" applyFont="1" applyFill="1"/>
    <xf numFmtId="0" fontId="0" fillId="8" borderId="0" xfId="0" applyFill="1"/>
    <xf numFmtId="2" fontId="0" fillId="0" borderId="0" xfId="0" applyNumberFormat="1" applyAlignment="1">
      <alignment horizontal="right" indent="1"/>
    </xf>
    <xf numFmtId="0" fontId="0" fillId="0" borderId="1" xfId="0" applyBorder="1"/>
    <xf numFmtId="14" fontId="0" fillId="0" borderId="1" xfId="0" applyNumberFormat="1" applyBorder="1"/>
    <xf numFmtId="0" fontId="0" fillId="0" borderId="0" xfId="0" applyNumberFormat="1"/>
    <xf numFmtId="0" fontId="8" fillId="0" borderId="0" xfId="0" applyFont="1"/>
    <xf numFmtId="0" fontId="0" fillId="0" borderId="3" xfId="0" applyBorder="1"/>
    <xf numFmtId="0" fontId="2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Optimal Fielder Position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452054794520547E-2"/>
          <c:y val="3.0008506952817711E-2"/>
          <c:w val="0.93619450200303911"/>
          <c:h val="0.88785450879182903"/>
        </c:manualLayout>
      </c:layout>
      <c:scatterChart>
        <c:scatterStyle val="lineMarker"/>
        <c:varyColors val="0"/>
        <c:ser>
          <c:idx val="0"/>
          <c:order val="0"/>
          <c:tx>
            <c:v>DOUBLE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MAIN!$AR$78:$AR$91</c:f>
              <c:strCache>
                <c:ptCount val="14"/>
                <c:pt idx="1">
                  <c:v>78.4</c:v>
                </c:pt>
                <c:pt idx="2">
                  <c:v>86.66</c:v>
                </c:pt>
                <c:pt idx="8">
                  <c:v>155.03</c:v>
                </c:pt>
                <c:pt idx="11">
                  <c:v>173.08</c:v>
                </c:pt>
                <c:pt idx="12">
                  <c:v>188.33</c:v>
                </c:pt>
                <c:pt idx="13">
                  <c:v>196.96</c:v>
                </c:pt>
              </c:strCache>
            </c:strRef>
          </c:xVal>
          <c:yVal>
            <c:numRef>
              <c:f>MAIN!$AS$78:$AS$91</c:f>
              <c:numCache>
                <c:formatCode>General</c:formatCode>
                <c:ptCount val="14"/>
                <c:pt idx="0">
                  <c:v>0</c:v>
                </c:pt>
                <c:pt idx="1">
                  <c:v>131.11000000000001</c:v>
                </c:pt>
                <c:pt idx="2">
                  <c:v>138.94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52.15</c:v>
                </c:pt>
                <c:pt idx="9">
                  <c:v>0</c:v>
                </c:pt>
                <c:pt idx="10">
                  <c:v>0</c:v>
                </c:pt>
                <c:pt idx="11">
                  <c:v>149.88</c:v>
                </c:pt>
                <c:pt idx="12">
                  <c:v>138.22</c:v>
                </c:pt>
                <c:pt idx="13">
                  <c:v>117.33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117-435B-9E71-3CEACE331259}"/>
            </c:ext>
          </c:extLst>
        </c:ser>
        <c:ser>
          <c:idx val="1"/>
          <c:order val="1"/>
          <c:tx>
            <c:v>OUT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MAIN!$AP$19:$AP$77</c:f>
              <c:strCache>
                <c:ptCount val="58"/>
                <c:pt idx="0">
                  <c:v>45.48</c:v>
                </c:pt>
                <c:pt idx="1">
                  <c:v>47.57</c:v>
                </c:pt>
                <c:pt idx="3">
                  <c:v>84.42</c:v>
                </c:pt>
                <c:pt idx="6">
                  <c:v>91.41</c:v>
                </c:pt>
                <c:pt idx="7">
                  <c:v>101.11</c:v>
                </c:pt>
                <c:pt idx="8">
                  <c:v>104.32</c:v>
                </c:pt>
                <c:pt idx="9">
                  <c:v>108.99</c:v>
                </c:pt>
                <c:pt idx="10">
                  <c:v>111.62</c:v>
                </c:pt>
                <c:pt idx="11">
                  <c:v>112.38</c:v>
                </c:pt>
                <c:pt idx="12">
                  <c:v>112.64</c:v>
                </c:pt>
                <c:pt idx="13">
                  <c:v>112.86</c:v>
                </c:pt>
                <c:pt idx="15">
                  <c:v>118.35</c:v>
                </c:pt>
                <c:pt idx="18">
                  <c:v>120.24</c:v>
                </c:pt>
                <c:pt idx="19">
                  <c:v>120.4</c:v>
                </c:pt>
                <c:pt idx="22">
                  <c:v>126.03</c:v>
                </c:pt>
                <c:pt idx="25">
                  <c:v>130.64</c:v>
                </c:pt>
                <c:pt idx="28">
                  <c:v>134.28</c:v>
                </c:pt>
                <c:pt idx="29">
                  <c:v>135.25</c:v>
                </c:pt>
                <c:pt idx="30">
                  <c:v>135.53</c:v>
                </c:pt>
                <c:pt idx="31">
                  <c:v>135.95</c:v>
                </c:pt>
                <c:pt idx="35">
                  <c:v>161.23</c:v>
                </c:pt>
                <c:pt idx="36">
                  <c:v>166.27</c:v>
                </c:pt>
                <c:pt idx="37">
                  <c:v>167.84</c:v>
                </c:pt>
                <c:pt idx="38">
                  <c:v>168.37</c:v>
                </c:pt>
                <c:pt idx="39">
                  <c:v>169.04</c:v>
                </c:pt>
                <c:pt idx="40">
                  <c:v>172.1</c:v>
                </c:pt>
                <c:pt idx="41">
                  <c:v>173.57</c:v>
                </c:pt>
                <c:pt idx="42">
                  <c:v>173.61</c:v>
                </c:pt>
                <c:pt idx="43">
                  <c:v>173.9</c:v>
                </c:pt>
                <c:pt idx="44">
                  <c:v>177.02</c:v>
                </c:pt>
                <c:pt idx="45">
                  <c:v>183.96</c:v>
                </c:pt>
                <c:pt idx="46">
                  <c:v>184.77</c:v>
                </c:pt>
                <c:pt idx="47">
                  <c:v>184.95</c:v>
                </c:pt>
                <c:pt idx="48">
                  <c:v>188.45</c:v>
                </c:pt>
                <c:pt idx="49">
                  <c:v>190.44</c:v>
                </c:pt>
                <c:pt idx="50">
                  <c:v>192.4</c:v>
                </c:pt>
                <c:pt idx="51">
                  <c:v>194.73</c:v>
                </c:pt>
                <c:pt idx="53">
                  <c:v>197.94</c:v>
                </c:pt>
                <c:pt idx="54">
                  <c:v>198.3</c:v>
                </c:pt>
                <c:pt idx="55">
                  <c:v>200.16</c:v>
                </c:pt>
                <c:pt idx="57">
                  <c:v>205.12</c:v>
                </c:pt>
              </c:strCache>
            </c:strRef>
          </c:xVal>
          <c:yVal>
            <c:numRef>
              <c:f>MAIN!$AQ$19:$AQ$77</c:f>
              <c:numCache>
                <c:formatCode>General</c:formatCode>
                <c:ptCount val="59"/>
                <c:pt idx="0">
                  <c:v>102.29</c:v>
                </c:pt>
                <c:pt idx="1">
                  <c:v>106.8</c:v>
                </c:pt>
                <c:pt idx="2">
                  <c:v>0</c:v>
                </c:pt>
                <c:pt idx="3">
                  <c:v>120.96</c:v>
                </c:pt>
                <c:pt idx="4">
                  <c:v>0</c:v>
                </c:pt>
                <c:pt idx="5">
                  <c:v>0</c:v>
                </c:pt>
                <c:pt idx="6">
                  <c:v>83.04</c:v>
                </c:pt>
                <c:pt idx="7">
                  <c:v>88.38</c:v>
                </c:pt>
                <c:pt idx="8">
                  <c:v>46.92</c:v>
                </c:pt>
                <c:pt idx="9">
                  <c:v>31.44</c:v>
                </c:pt>
                <c:pt idx="10">
                  <c:v>61.18</c:v>
                </c:pt>
                <c:pt idx="11">
                  <c:v>65.239999999999995</c:v>
                </c:pt>
                <c:pt idx="12">
                  <c:v>91.87</c:v>
                </c:pt>
                <c:pt idx="13">
                  <c:v>47.56</c:v>
                </c:pt>
                <c:pt idx="14">
                  <c:v>0</c:v>
                </c:pt>
                <c:pt idx="15">
                  <c:v>93.61</c:v>
                </c:pt>
                <c:pt idx="16">
                  <c:v>0</c:v>
                </c:pt>
                <c:pt idx="17">
                  <c:v>0</c:v>
                </c:pt>
                <c:pt idx="18">
                  <c:v>43.61</c:v>
                </c:pt>
                <c:pt idx="19">
                  <c:v>72.45</c:v>
                </c:pt>
                <c:pt idx="20">
                  <c:v>0</c:v>
                </c:pt>
                <c:pt idx="21">
                  <c:v>0</c:v>
                </c:pt>
                <c:pt idx="22">
                  <c:v>71.41</c:v>
                </c:pt>
                <c:pt idx="23">
                  <c:v>0</c:v>
                </c:pt>
                <c:pt idx="24">
                  <c:v>0</c:v>
                </c:pt>
                <c:pt idx="25">
                  <c:v>78.569999999999993</c:v>
                </c:pt>
                <c:pt idx="26">
                  <c:v>0</c:v>
                </c:pt>
                <c:pt idx="27">
                  <c:v>0</c:v>
                </c:pt>
                <c:pt idx="28">
                  <c:v>56.1</c:v>
                </c:pt>
                <c:pt idx="29">
                  <c:v>46.88</c:v>
                </c:pt>
                <c:pt idx="30">
                  <c:v>58.93</c:v>
                </c:pt>
                <c:pt idx="31">
                  <c:v>73.56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42.96</c:v>
                </c:pt>
                <c:pt idx="36">
                  <c:v>109.69</c:v>
                </c:pt>
                <c:pt idx="37">
                  <c:v>103.11</c:v>
                </c:pt>
                <c:pt idx="38">
                  <c:v>91.38</c:v>
                </c:pt>
                <c:pt idx="39">
                  <c:v>84.93</c:v>
                </c:pt>
                <c:pt idx="40">
                  <c:v>68.540000000000006</c:v>
                </c:pt>
                <c:pt idx="41">
                  <c:v>102.87</c:v>
                </c:pt>
                <c:pt idx="42">
                  <c:v>111.22</c:v>
                </c:pt>
                <c:pt idx="43">
                  <c:v>80.78</c:v>
                </c:pt>
                <c:pt idx="44">
                  <c:v>84.26</c:v>
                </c:pt>
                <c:pt idx="45">
                  <c:v>101.56</c:v>
                </c:pt>
                <c:pt idx="46">
                  <c:v>88.29</c:v>
                </c:pt>
                <c:pt idx="47">
                  <c:v>83.46</c:v>
                </c:pt>
                <c:pt idx="48">
                  <c:v>119.65</c:v>
                </c:pt>
                <c:pt idx="49">
                  <c:v>113.64</c:v>
                </c:pt>
                <c:pt idx="50">
                  <c:v>93.21</c:v>
                </c:pt>
                <c:pt idx="51">
                  <c:v>61.44</c:v>
                </c:pt>
                <c:pt idx="52">
                  <c:v>0</c:v>
                </c:pt>
                <c:pt idx="53">
                  <c:v>73.97</c:v>
                </c:pt>
                <c:pt idx="54">
                  <c:v>119.11</c:v>
                </c:pt>
                <c:pt idx="55">
                  <c:v>101.1</c:v>
                </c:pt>
                <c:pt idx="56">
                  <c:v>0</c:v>
                </c:pt>
                <c:pt idx="57">
                  <c:v>74.349999999999994</c:v>
                </c:pt>
                <c:pt idx="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117-435B-9E71-3CEACE331259}"/>
            </c:ext>
          </c:extLst>
        </c:ser>
        <c:ser>
          <c:idx val="2"/>
          <c:order val="2"/>
          <c:tx>
            <c:v>SINGLE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MAIN!$AN$12:$AN$19</c:f>
              <c:strCache>
                <c:ptCount val="4"/>
                <c:pt idx="0">
                  <c:v>81</c:v>
                </c:pt>
                <c:pt idx="3">
                  <c:v>160.47</c:v>
                </c:pt>
              </c:strCache>
            </c:strRef>
          </c:xVal>
          <c:yVal>
            <c:numRef>
              <c:f>MAIN!$AO$12:$AO$19</c:f>
              <c:numCache>
                <c:formatCode>General</c:formatCode>
                <c:ptCount val="8"/>
                <c:pt idx="0">
                  <c:v>108.28</c:v>
                </c:pt>
                <c:pt idx="1">
                  <c:v>0</c:v>
                </c:pt>
                <c:pt idx="2">
                  <c:v>0</c:v>
                </c:pt>
                <c:pt idx="3">
                  <c:v>113.14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117-435B-9E71-3CEACE331259}"/>
            </c:ext>
          </c:extLst>
        </c:ser>
        <c:ser>
          <c:idx val="3"/>
          <c:order val="3"/>
          <c:tx>
            <c:v>RF POS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MAIN!$G$2</c:f>
              <c:numCache>
                <c:formatCode>General</c:formatCode>
                <c:ptCount val="1"/>
                <c:pt idx="0">
                  <c:v>180</c:v>
                </c:pt>
              </c:numCache>
            </c:numRef>
          </c:xVal>
          <c:yVal>
            <c:numRef>
              <c:f>MAIN!$I$2</c:f>
              <c:numCache>
                <c:formatCode>General</c:formatCode>
                <c:ptCount val="1"/>
                <c:pt idx="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117-435B-9E71-3CEACE331259}"/>
            </c:ext>
          </c:extLst>
        </c:ser>
        <c:ser>
          <c:idx val="4"/>
          <c:order val="4"/>
          <c:tx>
            <c:v>CF POS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MAIN!$G$3</c:f>
              <c:numCache>
                <c:formatCode>General</c:formatCode>
                <c:ptCount val="1"/>
                <c:pt idx="0">
                  <c:v>105</c:v>
                </c:pt>
              </c:numCache>
            </c:numRef>
          </c:xVal>
          <c:yVal>
            <c:numRef>
              <c:f>MAIN!$I$3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1B0-4165-BCD0-05D7F2554C5B}"/>
            </c:ext>
          </c:extLst>
        </c:ser>
        <c:ser>
          <c:idx val="5"/>
          <c:order val="5"/>
          <c:tx>
            <c:v>LF POS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MAIN!$G$4</c:f>
              <c:numCache>
                <c:formatCode>General</c:formatCode>
                <c:ptCount val="1"/>
                <c:pt idx="0">
                  <c:v>50</c:v>
                </c:pt>
              </c:numCache>
            </c:numRef>
          </c:xVal>
          <c:yVal>
            <c:numRef>
              <c:f>MAIN!$I$4</c:f>
              <c:numCache>
                <c:formatCode>General</c:formatCode>
                <c:ptCount val="1"/>
                <c:pt idx="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1B0-4165-BCD0-05D7F2554C5B}"/>
            </c:ext>
          </c:extLst>
        </c:ser>
        <c:ser>
          <c:idx val="6"/>
          <c:order val="6"/>
          <c:tx>
            <c:v>RF POSITION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MAIN!$AT$4</c:f>
              <c:numCache>
                <c:formatCode>General</c:formatCode>
                <c:ptCount val="1"/>
                <c:pt idx="0">
                  <c:v>180</c:v>
                </c:pt>
              </c:numCache>
            </c:numRef>
          </c:xVal>
          <c:yVal>
            <c:numRef>
              <c:f>MAIN!$AT$5</c:f>
              <c:numCache>
                <c:formatCode>General</c:formatCode>
                <c:ptCount val="1"/>
                <c:pt idx="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EE3-497A-ABC7-0373950F2594}"/>
            </c:ext>
          </c:extLst>
        </c:ser>
        <c:ser>
          <c:idx val="7"/>
          <c:order val="7"/>
          <c:tx>
            <c:v>CF POSITION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MAIN!$AV$4</c:f>
              <c:numCache>
                <c:formatCode>General</c:formatCode>
                <c:ptCount val="1"/>
                <c:pt idx="0">
                  <c:v>105</c:v>
                </c:pt>
              </c:numCache>
            </c:numRef>
          </c:xVal>
          <c:yVal>
            <c:numRef>
              <c:f>MAIN!$AV$5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EE3-497A-ABC7-0373950F2594}"/>
            </c:ext>
          </c:extLst>
        </c:ser>
        <c:ser>
          <c:idx val="8"/>
          <c:order val="8"/>
          <c:tx>
            <c:v>LF POSITION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MAIN!$AX$4</c:f>
              <c:numCache>
                <c:formatCode>General</c:formatCode>
                <c:ptCount val="1"/>
                <c:pt idx="0">
                  <c:v>50</c:v>
                </c:pt>
              </c:numCache>
            </c:numRef>
          </c:xVal>
          <c:yVal>
            <c:numRef>
              <c:f>MAIN!$AX$5</c:f>
              <c:numCache>
                <c:formatCode>General</c:formatCode>
                <c:ptCount val="1"/>
                <c:pt idx="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EE3-497A-ABC7-0373950F2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2007104"/>
        <c:axId val="872006688"/>
      </c:scatterChart>
      <c:valAx>
        <c:axId val="872007104"/>
        <c:scaling>
          <c:orientation val="maxMin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006688"/>
        <c:crosses val="autoZero"/>
        <c:crossBetween val="midCat"/>
      </c:valAx>
      <c:valAx>
        <c:axId val="872006688"/>
        <c:scaling>
          <c:orientation val="minMax"/>
          <c:max val="250"/>
          <c:min val="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007104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619123</xdr:colOff>
      <xdr:row>12</xdr:row>
      <xdr:rowOff>95250</xdr:rowOff>
    </xdr:from>
    <xdr:to>
      <xdr:col>56</xdr:col>
      <xdr:colOff>419092</xdr:colOff>
      <xdr:row>35</xdr:row>
      <xdr:rowOff>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27927298" y="2571750"/>
          <a:ext cx="8029569" cy="4505325"/>
          <a:chOff x="21917023" y="2709415"/>
          <a:chExt cx="8029569" cy="545350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alphaModFix amt="23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10800000">
            <a:off x="21917023" y="2952751"/>
            <a:ext cx="8029569" cy="5210169"/>
          </a:xfrm>
          <a:prstGeom prst="rect">
            <a:avLst/>
          </a:prstGeom>
        </xdr:spPr>
      </xdr:pic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aphicFramePr/>
        </xdr:nvGraphicFramePr>
        <xdr:xfrm>
          <a:off x="22402800" y="2709415"/>
          <a:ext cx="6877050" cy="487248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85725</xdr:colOff>
          <xdr:row>4</xdr:row>
          <xdr:rowOff>104775</xdr:rowOff>
        </xdr:from>
        <xdr:to>
          <xdr:col>43</xdr:col>
          <xdr:colOff>104775</xdr:colOff>
          <xdr:row>8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OPTIMIZE!</a:t>
              </a:r>
            </a:p>
          </xdr:txBody>
        </xdr:sp>
        <xdr:clientData fPrintsWithSheet="0"/>
      </xdr:twoCellAnchor>
    </mc:Choice>
    <mc:Fallback/>
  </mc:AlternateContent>
  <xdr:twoCellAnchor>
    <xdr:from>
      <xdr:col>50</xdr:col>
      <xdr:colOff>361950</xdr:colOff>
      <xdr:row>16</xdr:row>
      <xdr:rowOff>9525</xdr:rowOff>
    </xdr:from>
    <xdr:to>
      <xdr:col>50</xdr:col>
      <xdr:colOff>371475</xdr:colOff>
      <xdr:row>31</xdr:row>
      <xdr:rowOff>19050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28775025" y="2867025"/>
          <a:ext cx="9525" cy="3009900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X92"/>
  <sheetViews>
    <sheetView tabSelected="1" topLeftCell="AC1" workbookViewId="0">
      <pane ySplit="11" topLeftCell="A15" activePane="bottomLeft" state="frozen"/>
      <selection activeCell="AI1" sqref="AI1"/>
      <selection pane="bottomLeft" activeCell="AX11" sqref="AX11"/>
    </sheetView>
  </sheetViews>
  <sheetFormatPr defaultRowHeight="15.75" x14ac:dyDescent="0.25"/>
  <cols>
    <col min="1" max="1" width="9.875" style="1" customWidth="1"/>
    <col min="2" max="2" width="13.625" customWidth="1"/>
    <col min="3" max="3" width="13" customWidth="1"/>
    <col min="5" max="6" width="9.125" bestFit="1" customWidth="1"/>
    <col min="7" max="7" width="9.5" bestFit="1" customWidth="1"/>
    <col min="9" max="13" width="9" customWidth="1"/>
    <col min="15" max="15" width="3.625" bestFit="1" customWidth="1"/>
    <col min="16" max="16" width="19.875" customWidth="1"/>
    <col min="17" max="17" width="10" customWidth="1"/>
    <col min="18" max="18" width="4.875" customWidth="1"/>
    <col min="19" max="19" width="5.875" customWidth="1"/>
    <col min="20" max="20" width="10.375" customWidth="1"/>
    <col min="21" max="21" width="9.375" bestFit="1" customWidth="1"/>
    <col min="22" max="22" width="7.625" customWidth="1"/>
    <col min="23" max="23" width="19.75" hidden="1" customWidth="1"/>
    <col min="24" max="24" width="1.875" hidden="1" customWidth="1"/>
    <col min="25" max="25" width="4.875" hidden="1" customWidth="1"/>
    <col min="26" max="26" width="5.875" hidden="1" customWidth="1"/>
    <col min="27" max="27" width="0" hidden="1" customWidth="1"/>
    <col min="28" max="28" width="9.375" customWidth="1"/>
    <col min="29" max="29" width="3.625" bestFit="1" customWidth="1"/>
    <col min="31" max="31" width="9.375" bestFit="1" customWidth="1"/>
    <col min="36" max="36" width="10.125" customWidth="1"/>
    <col min="39" max="39" width="10" style="20" customWidth="1"/>
  </cols>
  <sheetData>
    <row r="1" spans="1:50" ht="16.5" thickBot="1" x14ac:dyDescent="0.3"/>
    <row r="2" spans="1:50" ht="16.5" thickBot="1" x14ac:dyDescent="0.3">
      <c r="D2" s="2" t="s">
        <v>52</v>
      </c>
      <c r="F2" s="8" t="s">
        <v>32</v>
      </c>
      <c r="G2" s="27">
        <f>AT4</f>
        <v>180</v>
      </c>
      <c r="H2" s="8" t="s">
        <v>33</v>
      </c>
      <c r="I2" s="27">
        <f>AT5</f>
        <v>80</v>
      </c>
      <c r="K2" s="8" t="s">
        <v>36</v>
      </c>
      <c r="L2" s="11">
        <v>5</v>
      </c>
      <c r="M2" s="9" t="s">
        <v>62</v>
      </c>
      <c r="N2" s="8" t="s">
        <v>37</v>
      </c>
      <c r="O2" s="11">
        <v>8</v>
      </c>
      <c r="P2" s="10" t="s">
        <v>62</v>
      </c>
      <c r="Q2" s="8" t="s">
        <v>38</v>
      </c>
      <c r="R2" s="11">
        <v>2</v>
      </c>
      <c r="S2" t="s">
        <v>39</v>
      </c>
      <c r="T2" s="3" t="s">
        <v>40</v>
      </c>
      <c r="U2" s="11">
        <v>15</v>
      </c>
      <c r="V2" t="s">
        <v>61</v>
      </c>
    </row>
    <row r="3" spans="1:50" ht="16.5" thickBot="1" x14ac:dyDescent="0.3">
      <c r="D3" s="2" t="s">
        <v>51</v>
      </c>
      <c r="F3" s="8" t="s">
        <v>32</v>
      </c>
      <c r="G3" s="27">
        <f>AV4</f>
        <v>105</v>
      </c>
      <c r="H3" s="8" t="s">
        <v>33</v>
      </c>
      <c r="I3" s="27">
        <f>AV5</f>
        <v>60</v>
      </c>
      <c r="K3" s="8" t="s">
        <v>36</v>
      </c>
      <c r="L3" s="11">
        <v>6</v>
      </c>
      <c r="M3" s="9" t="s">
        <v>62</v>
      </c>
      <c r="N3" s="8" t="s">
        <v>37</v>
      </c>
      <c r="O3" s="11">
        <v>10</v>
      </c>
      <c r="P3" s="10" t="s">
        <v>62</v>
      </c>
      <c r="Q3" s="8" t="s">
        <v>38</v>
      </c>
      <c r="R3" s="11">
        <v>2</v>
      </c>
      <c r="S3" t="s">
        <v>39</v>
      </c>
      <c r="T3" s="3" t="s">
        <v>40</v>
      </c>
      <c r="U3" s="11">
        <v>14</v>
      </c>
      <c r="V3" t="s">
        <v>61</v>
      </c>
      <c r="AT3" t="s">
        <v>58</v>
      </c>
      <c r="AV3" t="s">
        <v>57</v>
      </c>
      <c r="AX3" t="s">
        <v>56</v>
      </c>
    </row>
    <row r="4" spans="1:50" ht="16.5" thickBot="1" x14ac:dyDescent="0.3">
      <c r="D4" s="2" t="s">
        <v>50</v>
      </c>
      <c r="F4" s="8" t="s">
        <v>32</v>
      </c>
      <c r="G4" s="27">
        <f>AX4</f>
        <v>50</v>
      </c>
      <c r="H4" s="8" t="s">
        <v>33</v>
      </c>
      <c r="I4" s="27">
        <f>AX5</f>
        <v>100</v>
      </c>
      <c r="K4" s="8" t="s">
        <v>36</v>
      </c>
      <c r="L4" s="11">
        <v>5</v>
      </c>
      <c r="M4" s="9" t="s">
        <v>62</v>
      </c>
      <c r="N4" s="8" t="s">
        <v>37</v>
      </c>
      <c r="O4" s="11">
        <v>8</v>
      </c>
      <c r="P4" s="10" t="s">
        <v>62</v>
      </c>
      <c r="Q4" s="8" t="s">
        <v>38</v>
      </c>
      <c r="R4" s="11">
        <v>2</v>
      </c>
      <c r="S4" t="s">
        <v>39</v>
      </c>
      <c r="T4" s="3" t="s">
        <v>40</v>
      </c>
      <c r="U4" s="11">
        <v>15</v>
      </c>
      <c r="V4" t="s">
        <v>61</v>
      </c>
      <c r="AD4" s="38" t="s">
        <v>89</v>
      </c>
      <c r="AE4" s="38"/>
      <c r="AF4" s="38"/>
      <c r="AG4" s="38"/>
      <c r="AS4" s="25">
        <v>180</v>
      </c>
      <c r="AT4" s="11">
        <v>180</v>
      </c>
      <c r="AU4" s="25">
        <v>105</v>
      </c>
      <c r="AV4" s="11">
        <v>105</v>
      </c>
      <c r="AW4" s="25">
        <v>50</v>
      </c>
      <c r="AX4" s="11">
        <v>50</v>
      </c>
    </row>
    <row r="5" spans="1:50" ht="16.5" thickBot="1" x14ac:dyDescent="0.3">
      <c r="AD5" s="33">
        <v>44197</v>
      </c>
      <c r="AE5" s="33">
        <v>43831</v>
      </c>
      <c r="AF5" s="33">
        <v>43650</v>
      </c>
      <c r="AG5" s="33">
        <v>43466</v>
      </c>
      <c r="AS5" s="25">
        <v>80</v>
      </c>
      <c r="AT5" s="11">
        <v>80</v>
      </c>
      <c r="AU5" s="25">
        <v>60</v>
      </c>
      <c r="AV5" s="11">
        <v>60</v>
      </c>
      <c r="AW5" s="25">
        <v>100</v>
      </c>
      <c r="AX5" s="11">
        <v>100</v>
      </c>
    </row>
    <row r="6" spans="1:50" ht="16.5" thickBot="1" x14ac:dyDescent="0.3">
      <c r="L6" s="6" t="s">
        <v>46</v>
      </c>
      <c r="M6" s="6" t="s">
        <v>18</v>
      </c>
      <c r="N6" s="6" t="s">
        <v>22</v>
      </c>
      <c r="R6" s="17" t="s">
        <v>94</v>
      </c>
      <c r="S6" s="17" t="s">
        <v>95</v>
      </c>
      <c r="T6" s="17" t="s">
        <v>96</v>
      </c>
      <c r="U6" s="17" t="s">
        <v>97</v>
      </c>
      <c r="V6" s="17" t="s">
        <v>98</v>
      </c>
      <c r="AB6" s="3" t="s">
        <v>99</v>
      </c>
      <c r="AD6" s="32">
        <v>1</v>
      </c>
      <c r="AE6" s="32">
        <v>0.7</v>
      </c>
      <c r="AF6" s="32">
        <v>0.5</v>
      </c>
      <c r="AG6" s="32">
        <v>0.3</v>
      </c>
    </row>
    <row r="7" spans="1:50" ht="16.5" thickBot="1" x14ac:dyDescent="0.3">
      <c r="G7" s="3" t="s">
        <v>44</v>
      </c>
      <c r="H7" s="11">
        <v>2</v>
      </c>
      <c r="I7" t="s">
        <v>39</v>
      </c>
      <c r="K7" s="8" t="s">
        <v>45</v>
      </c>
      <c r="L7" s="11">
        <v>0.3</v>
      </c>
      <c r="M7" s="11">
        <v>-0.87</v>
      </c>
      <c r="N7" s="11">
        <v>-1.2170000000000001</v>
      </c>
      <c r="P7" s="15" t="s">
        <v>48</v>
      </c>
      <c r="Q7" s="8" t="s">
        <v>91</v>
      </c>
      <c r="R7" s="36">
        <v>180</v>
      </c>
      <c r="S7" s="36">
        <v>200</v>
      </c>
      <c r="T7" s="36">
        <v>10</v>
      </c>
      <c r="U7" s="36">
        <v>80</v>
      </c>
      <c r="V7" s="36">
        <v>110</v>
      </c>
      <c r="W7" s="36"/>
      <c r="X7" s="36"/>
      <c r="Y7" s="36"/>
      <c r="Z7" s="36"/>
      <c r="AA7" s="36"/>
      <c r="AB7" s="36">
        <v>10</v>
      </c>
      <c r="AD7" s="35">
        <f ca="1">_xlfn.DAYS(TODAY(),AD5)</f>
        <v>170</v>
      </c>
      <c r="AE7" s="35">
        <f t="shared" ref="AE7:AG7" ca="1" si="0">_xlfn.DAYS(TODAY(),AE5)</f>
        <v>536</v>
      </c>
      <c r="AF7" s="35">
        <f t="shared" ca="1" si="0"/>
        <v>717</v>
      </c>
      <c r="AG7" s="35">
        <f t="shared" ca="1" si="0"/>
        <v>901</v>
      </c>
      <c r="AV7">
        <v>15.140700340270996</v>
      </c>
    </row>
    <row r="8" spans="1:50" ht="16.5" thickBot="1" x14ac:dyDescent="0.3">
      <c r="P8" s="16">
        <f ca="1">SUM(AL12:AL141)</f>
        <v>-15.140699999999983</v>
      </c>
      <c r="Q8" s="8" t="s">
        <v>92</v>
      </c>
      <c r="R8" s="36">
        <v>105</v>
      </c>
      <c r="S8" s="36">
        <v>145</v>
      </c>
      <c r="T8" s="36">
        <v>10</v>
      </c>
      <c r="U8" s="36">
        <v>60</v>
      </c>
      <c r="V8" s="36">
        <v>90</v>
      </c>
      <c r="W8" s="36"/>
      <c r="X8" s="36"/>
      <c r="Y8" s="36"/>
      <c r="Z8" s="36"/>
      <c r="AA8" s="36"/>
      <c r="AB8" s="36">
        <v>10</v>
      </c>
      <c r="AU8" s="3" t="s">
        <v>63</v>
      </c>
      <c r="AV8" s="26">
        <f ca="1">-P8</f>
        <v>15.140699999999983</v>
      </c>
      <c r="AX8" t="s">
        <v>64</v>
      </c>
    </row>
    <row r="9" spans="1:50" x14ac:dyDescent="0.25">
      <c r="Q9" s="8" t="s">
        <v>93</v>
      </c>
      <c r="R9" s="36">
        <v>40</v>
      </c>
      <c r="S9" s="36">
        <v>70</v>
      </c>
      <c r="T9" s="36">
        <v>10</v>
      </c>
      <c r="U9" s="36">
        <v>80</v>
      </c>
      <c r="V9" s="36">
        <v>110</v>
      </c>
      <c r="W9" s="36"/>
      <c r="X9" s="36"/>
      <c r="Y9" s="36"/>
      <c r="Z9" s="36"/>
      <c r="AA9" s="36"/>
      <c r="AB9" s="36">
        <v>10</v>
      </c>
      <c r="AD9" s="17" t="s">
        <v>58</v>
      </c>
      <c r="AF9" s="17" t="s">
        <v>57</v>
      </c>
      <c r="AH9" s="17" t="s">
        <v>56</v>
      </c>
      <c r="AJ9" s="3" t="s">
        <v>88</v>
      </c>
      <c r="AK9" s="17" t="s">
        <v>87</v>
      </c>
      <c r="AL9" s="17" t="s">
        <v>59</v>
      </c>
      <c r="AM9" s="21" t="s">
        <v>60</v>
      </c>
    </row>
    <row r="10" spans="1:50" x14ac:dyDescent="0.25">
      <c r="K10" s="37" t="s">
        <v>42</v>
      </c>
      <c r="L10" s="37"/>
      <c r="M10" s="6"/>
      <c r="N10" s="4" t="s">
        <v>43</v>
      </c>
      <c r="R10" s="37" t="s">
        <v>42</v>
      </c>
      <c r="S10" s="37"/>
      <c r="T10" s="7"/>
      <c r="U10" s="4" t="s">
        <v>43</v>
      </c>
      <c r="Y10" s="37" t="s">
        <v>42</v>
      </c>
      <c r="Z10" s="37"/>
      <c r="AA10" s="7"/>
      <c r="AB10" s="4" t="s">
        <v>43</v>
      </c>
      <c r="AD10" s="6" t="s">
        <v>47</v>
      </c>
      <c r="AF10" s="7" t="s">
        <v>47</v>
      </c>
      <c r="AH10" s="7" t="s">
        <v>47</v>
      </c>
      <c r="AP10" s="39" t="s">
        <v>90</v>
      </c>
      <c r="AQ10" s="39"/>
      <c r="AT10" s="8" t="s">
        <v>100</v>
      </c>
      <c r="AU10">
        <f>((((S7-R7)/T7)+1)*(((V7-U7)/AB7)+1)*(((S8-R8)/T8)+1)*(((V8-U8)/AB8)+1)*(((S9-R9)/T9)+1)*(((V9-U9)/AB9)+1))</f>
        <v>3840</v>
      </c>
      <c r="AW10" s="8" t="s">
        <v>101</v>
      </c>
      <c r="AX10" s="40">
        <f>FLOOR(AX11/AU10,1)</f>
        <v>0</v>
      </c>
    </row>
    <row r="11" spans="1:50" x14ac:dyDescent="0.25">
      <c r="A11" s="1" t="s">
        <v>85</v>
      </c>
      <c r="B11" s="23" t="s">
        <v>9</v>
      </c>
      <c r="C11" s="23" t="s">
        <v>5</v>
      </c>
      <c r="D11" s="24" t="s">
        <v>3</v>
      </c>
      <c r="E11" s="28" t="s">
        <v>29</v>
      </c>
      <c r="F11" s="28" t="s">
        <v>30</v>
      </c>
      <c r="G11" s="28" t="s">
        <v>31</v>
      </c>
      <c r="H11" s="5"/>
      <c r="I11" s="28" t="s">
        <v>55</v>
      </c>
      <c r="K11" s="28" t="s">
        <v>34</v>
      </c>
      <c r="L11" s="28" t="s">
        <v>35</v>
      </c>
      <c r="M11" s="28"/>
      <c r="P11" s="28" t="s">
        <v>54</v>
      </c>
      <c r="R11" s="28" t="s">
        <v>34</v>
      </c>
      <c r="S11" s="28" t="s">
        <v>35</v>
      </c>
      <c r="T11" s="28"/>
      <c r="U11" s="28"/>
      <c r="W11" s="28" t="s">
        <v>53</v>
      </c>
      <c r="Y11" s="28" t="s">
        <v>34</v>
      </c>
      <c r="Z11" s="28" t="s">
        <v>35</v>
      </c>
      <c r="AA11" s="28"/>
      <c r="AB11" s="28"/>
      <c r="AX11">
        <v>7</v>
      </c>
    </row>
    <row r="12" spans="1:50" x14ac:dyDescent="0.25">
      <c r="A12" s="1">
        <v>44092</v>
      </c>
      <c r="B12">
        <v>166</v>
      </c>
      <c r="C12">
        <v>7</v>
      </c>
      <c r="D12" t="s">
        <v>18</v>
      </c>
      <c r="E12">
        <v>81</v>
      </c>
      <c r="F12">
        <v>108.28</v>
      </c>
      <c r="G12" s="31">
        <f>HT!L77</f>
        <v>2.1525126130781538</v>
      </c>
      <c r="I12" s="13">
        <f t="shared" ref="I12:I43" si="1">SQRT(($G$2-E12)^2+($I$2-F12)^2)</f>
        <v>102.95998445998329</v>
      </c>
      <c r="J12" t="s">
        <v>61</v>
      </c>
      <c r="K12" s="13">
        <f t="shared" ref="K12:K43" si="2">MIN($R$2,I12/$L$2)</f>
        <v>2</v>
      </c>
      <c r="L12" s="12">
        <f t="shared" ref="L12:L43" si="3">(MAX(0,I12-($U$2)))/$O$2</f>
        <v>10.994998057497911</v>
      </c>
      <c r="N12" s="19">
        <f t="shared" ref="N12:N43" si="4">K12+L12</f>
        <v>12.994998057497911</v>
      </c>
      <c r="O12" t="s">
        <v>39</v>
      </c>
      <c r="P12" s="13">
        <f t="shared" ref="P12:P43" si="5">SQRT(($G$3-E12)^2+($I$3-F12)^2)</f>
        <v>53.916216484467824</v>
      </c>
      <c r="Q12" t="s">
        <v>61</v>
      </c>
      <c r="R12" s="13">
        <f t="shared" ref="R12:R43" si="6">MIN($R$3,P12/$L$3)</f>
        <v>2</v>
      </c>
      <c r="S12" s="12">
        <f t="shared" ref="S12:S43" si="7">(MAX(0,P12-($U$3)))/$O$3</f>
        <v>3.9916216484467824</v>
      </c>
      <c r="U12" s="19">
        <f t="shared" ref="U12:U43" si="8">R12+S12</f>
        <v>5.9916216484467828</v>
      </c>
      <c r="V12" t="s">
        <v>39</v>
      </c>
      <c r="W12" s="13">
        <f t="shared" ref="W12:W43" si="9">SQRT(($G$4-E12)^2+($I$4-F12)^2)</f>
        <v>32.086732460629271</v>
      </c>
      <c r="X12" t="s">
        <v>61</v>
      </c>
      <c r="Y12" s="13">
        <f t="shared" ref="Y12:Y43" si="10">MIN($R$4,W12/$L$4)</f>
        <v>2</v>
      </c>
      <c r="Z12" s="12">
        <f t="shared" ref="Z12:Z43" si="11">(MAX(0,W12-($U$4)))/$O$4</f>
        <v>2.1358415575786589</v>
      </c>
      <c r="AB12" s="19">
        <f t="shared" ref="AB12:AB43" si="12">Y12+Z12</f>
        <v>4.1358415575786589</v>
      </c>
      <c r="AC12" t="s">
        <v>39</v>
      </c>
      <c r="AD12" s="14">
        <f t="shared" ref="AD12:AD43" si="13">IF(N12&lt;=G12,$L$7,IF(AND(N12&gt;G12,N12&lt;=G12+$H$7,F12&gt;=$I$2),$M$7,$N$7))</f>
        <v>-1.2170000000000001</v>
      </c>
      <c r="AE12" t="str">
        <f t="shared" ref="AE12:AE43" si="14">IF(AD12=$L$7,"OUT",IF(AD12=$M$7,"SINGLE",IF(AD12=$N$7,"DOUBLE")))</f>
        <v>DOUBLE</v>
      </c>
      <c r="AF12" s="14">
        <f t="shared" ref="AF12:AF43" si="15">IF(U12&lt;=G12,$L$7,IF(AND(U12&gt;G12,U12&lt;=G12+$H$7,F12&gt;=$I$3),$M$7,$N$7))</f>
        <v>-1.2170000000000001</v>
      </c>
      <c r="AG12" t="str">
        <f t="shared" ref="AG12:AG43" si="16">IF(AF12=$L$7,"OUT",IF(AF12=$M$7,"SINGLE",IF(AF12=$N$7,"DOUBLE")))</f>
        <v>DOUBLE</v>
      </c>
      <c r="AH12" s="14">
        <f t="shared" ref="AH12:AH43" si="17">IF(AB12&lt;=G12,$L$7,IF(AND(AB12&gt;G12,AB12&lt;=G12+$H$7,F12&gt;=$I$4),$M$7,$N$7))</f>
        <v>-0.87</v>
      </c>
      <c r="AI12" t="str">
        <f t="shared" ref="AI12:AI43" si="18">IF(AH12=$L$7,"OUT",IF(AH12=$M$7,"SINGLE",IF(AH12=$N$7,"DOUBLE")))</f>
        <v>SINGLE</v>
      </c>
      <c r="AJ12" s="34">
        <f t="shared" ref="AJ12:AJ43" ca="1" si="19">_xlfn.DAYS(TODAY(),A12)</f>
        <v>275</v>
      </c>
      <c r="AK12">
        <f t="shared" ref="AK12:AK43" ca="1" si="20">IF(AJ12&lt;$AD$7,$AD$6,IF(AND(AJ12&gt;$AD$7,AJ12&lt;=$AE$7),$AE$6,IF(AND(AJ12&gt;$AE$7,AJ12&lt;=$AF$7),$AF$6,$AG$6)))</f>
        <v>0.7</v>
      </c>
      <c r="AL12" s="18">
        <f t="shared" ref="AL12:AL43" ca="1" si="21">AK12*MAX(AD12,AF12,AH12)</f>
        <v>-0.60899999999999999</v>
      </c>
      <c r="AM12" s="22" t="str">
        <f t="shared" ref="AM12:AM43" ca="1" si="22">IF(AL12=AK12*$L$7,"OUT",IF(AL12=AK12*$M$7,"SINGLE","DOUBLE"))</f>
        <v>SINGLE</v>
      </c>
      <c r="AN12">
        <f t="shared" ref="AN12:AN43" ca="1" si="23">IF($AM12="SINGLE",$E12,"")</f>
        <v>81</v>
      </c>
      <c r="AO12">
        <f t="shared" ref="AO12:AO43" ca="1" si="24">IF($AM12="SINGLE",$F12,"")</f>
        <v>108.28</v>
      </c>
      <c r="AP12" t="str">
        <f t="shared" ref="AP12:AP43" ca="1" si="25">IF($AM12="OUT",$E12,"")</f>
        <v/>
      </c>
      <c r="AQ12" t="str">
        <f t="shared" ref="AQ12:AQ43" ca="1" si="26">IF($AM12="OUT",$F12,"")</f>
        <v/>
      </c>
      <c r="AR12" t="str">
        <f t="shared" ref="AR12:AR43" ca="1" si="27">IF($AM12="DOUBLE",$E12,"")</f>
        <v/>
      </c>
      <c r="AS12" t="str">
        <f t="shared" ref="AS12:AS43" ca="1" si="28">IF($AM12="DOUBLE",$F12,"")</f>
        <v/>
      </c>
    </row>
    <row r="13" spans="1:50" x14ac:dyDescent="0.25">
      <c r="A13" s="1">
        <v>44053</v>
      </c>
      <c r="B13">
        <v>192</v>
      </c>
      <c r="C13">
        <v>8</v>
      </c>
      <c r="D13" t="s">
        <v>18</v>
      </c>
      <c r="E13">
        <v>120.77</v>
      </c>
      <c r="F13">
        <v>120.23</v>
      </c>
      <c r="G13" s="31">
        <f>HT!L68</f>
        <v>1.9718357016011316</v>
      </c>
      <c r="I13" s="13">
        <f t="shared" si="1"/>
        <v>71.600599159504242</v>
      </c>
      <c r="J13" t="s">
        <v>61</v>
      </c>
      <c r="K13" s="13">
        <f t="shared" si="2"/>
        <v>2</v>
      </c>
      <c r="L13" s="12">
        <f t="shared" si="3"/>
        <v>7.0750748949380302</v>
      </c>
      <c r="N13" s="19">
        <f t="shared" si="4"/>
        <v>9.0750748949380302</v>
      </c>
      <c r="O13" t="s">
        <v>39</v>
      </c>
      <c r="P13" s="13">
        <f t="shared" si="5"/>
        <v>62.260306777271829</v>
      </c>
      <c r="Q13" t="s">
        <v>61</v>
      </c>
      <c r="R13" s="13">
        <f t="shared" si="6"/>
        <v>2</v>
      </c>
      <c r="S13" s="12">
        <f t="shared" si="7"/>
        <v>4.8260306777271831</v>
      </c>
      <c r="U13" s="19">
        <f t="shared" si="8"/>
        <v>6.8260306777271831</v>
      </c>
      <c r="V13" t="s">
        <v>39</v>
      </c>
      <c r="W13" s="13">
        <f t="shared" si="9"/>
        <v>73.604658819941562</v>
      </c>
      <c r="X13" t="s">
        <v>61</v>
      </c>
      <c r="Y13" s="13">
        <f t="shared" si="10"/>
        <v>2</v>
      </c>
      <c r="Z13" s="12">
        <f t="shared" si="11"/>
        <v>7.3255823524926953</v>
      </c>
      <c r="AB13" s="19">
        <f t="shared" si="12"/>
        <v>9.3255823524926953</v>
      </c>
      <c r="AC13" t="s">
        <v>39</v>
      </c>
      <c r="AD13" s="14">
        <f t="shared" si="13"/>
        <v>-1.2170000000000001</v>
      </c>
      <c r="AE13" t="str">
        <f t="shared" si="14"/>
        <v>DOUBLE</v>
      </c>
      <c r="AF13" s="14">
        <f t="shared" si="15"/>
        <v>-1.2170000000000001</v>
      </c>
      <c r="AG13" t="str">
        <f t="shared" si="16"/>
        <v>DOUBLE</v>
      </c>
      <c r="AH13" s="14">
        <f t="shared" si="17"/>
        <v>-1.2170000000000001</v>
      </c>
      <c r="AI13" t="str">
        <f t="shared" si="18"/>
        <v>DOUBLE</v>
      </c>
      <c r="AJ13" s="34">
        <f t="shared" ca="1" si="19"/>
        <v>314</v>
      </c>
      <c r="AK13">
        <f t="shared" ca="1" si="20"/>
        <v>0.7</v>
      </c>
      <c r="AL13" s="18">
        <f t="shared" ca="1" si="21"/>
        <v>-0.85189999999999999</v>
      </c>
      <c r="AM13" s="22" t="str">
        <f t="shared" ca="1" si="22"/>
        <v>DOUBLE</v>
      </c>
      <c r="AN13" t="str">
        <f t="shared" ca="1" si="23"/>
        <v/>
      </c>
      <c r="AO13" t="str">
        <f t="shared" ca="1" si="24"/>
        <v/>
      </c>
      <c r="AP13" t="str">
        <f t="shared" ca="1" si="25"/>
        <v/>
      </c>
      <c r="AQ13" t="str">
        <f t="shared" ca="1" si="26"/>
        <v/>
      </c>
      <c r="AR13">
        <f t="shared" ca="1" si="27"/>
        <v>120.77</v>
      </c>
      <c r="AS13">
        <f t="shared" ca="1" si="28"/>
        <v>120.23</v>
      </c>
    </row>
    <row r="14" spans="1:50" x14ac:dyDescent="0.25">
      <c r="A14" s="1">
        <v>44297</v>
      </c>
      <c r="B14">
        <v>188</v>
      </c>
      <c r="C14">
        <v>8</v>
      </c>
      <c r="D14" t="s">
        <v>18</v>
      </c>
      <c r="E14">
        <v>135.01</v>
      </c>
      <c r="F14">
        <v>96.8</v>
      </c>
      <c r="G14" s="31">
        <f>HT!L42</f>
        <v>1.7904365774503188</v>
      </c>
      <c r="I14" s="13">
        <f t="shared" si="1"/>
        <v>48.024369855314092</v>
      </c>
      <c r="J14" t="s">
        <v>61</v>
      </c>
      <c r="K14" s="13">
        <f t="shared" si="2"/>
        <v>2</v>
      </c>
      <c r="L14" s="12">
        <f t="shared" si="3"/>
        <v>4.1280462319142615</v>
      </c>
      <c r="N14" s="19">
        <f t="shared" si="4"/>
        <v>6.1280462319142615</v>
      </c>
      <c r="O14" t="s">
        <v>39</v>
      </c>
      <c r="P14" s="13">
        <f t="shared" si="5"/>
        <v>47.485156628150648</v>
      </c>
      <c r="Q14" t="s">
        <v>61</v>
      </c>
      <c r="R14" s="13">
        <f t="shared" si="6"/>
        <v>2</v>
      </c>
      <c r="S14" s="12">
        <f t="shared" si="7"/>
        <v>3.348515662815065</v>
      </c>
      <c r="U14" s="19">
        <f t="shared" si="8"/>
        <v>5.348515662815065</v>
      </c>
      <c r="V14" t="s">
        <v>39</v>
      </c>
      <c r="W14" s="13">
        <f t="shared" si="9"/>
        <v>85.070206888193226</v>
      </c>
      <c r="X14" t="s">
        <v>61</v>
      </c>
      <c r="Y14" s="13">
        <f t="shared" si="10"/>
        <v>2</v>
      </c>
      <c r="Z14" s="12">
        <f t="shared" si="11"/>
        <v>8.7587758610241533</v>
      </c>
      <c r="AB14" s="19">
        <f t="shared" si="12"/>
        <v>10.758775861024153</v>
      </c>
      <c r="AC14" t="s">
        <v>39</v>
      </c>
      <c r="AD14" s="14">
        <f t="shared" si="13"/>
        <v>-1.2170000000000001</v>
      </c>
      <c r="AE14" t="str">
        <f t="shared" si="14"/>
        <v>DOUBLE</v>
      </c>
      <c r="AF14" s="14">
        <f t="shared" si="15"/>
        <v>-1.2170000000000001</v>
      </c>
      <c r="AG14" t="str">
        <f t="shared" si="16"/>
        <v>DOUBLE</v>
      </c>
      <c r="AH14" s="14">
        <f t="shared" si="17"/>
        <v>-1.2170000000000001</v>
      </c>
      <c r="AI14" t="str">
        <f t="shared" si="18"/>
        <v>DOUBLE</v>
      </c>
      <c r="AJ14" s="34">
        <f t="shared" ca="1" si="19"/>
        <v>70</v>
      </c>
      <c r="AK14">
        <f t="shared" ca="1" si="20"/>
        <v>1</v>
      </c>
      <c r="AL14" s="18">
        <f t="shared" ca="1" si="21"/>
        <v>-1.2170000000000001</v>
      </c>
      <c r="AM14" s="22" t="str">
        <f t="shared" ca="1" si="22"/>
        <v>DOUBLE</v>
      </c>
      <c r="AN14" t="str">
        <f t="shared" ca="1" si="23"/>
        <v/>
      </c>
      <c r="AO14" t="str">
        <f t="shared" ca="1" si="24"/>
        <v/>
      </c>
      <c r="AP14" t="str">
        <f t="shared" ca="1" si="25"/>
        <v/>
      </c>
      <c r="AQ14" t="str">
        <f t="shared" ca="1" si="26"/>
        <v/>
      </c>
      <c r="AR14">
        <f t="shared" ca="1" si="27"/>
        <v>135.01</v>
      </c>
      <c r="AS14">
        <f t="shared" ca="1" si="28"/>
        <v>96.8</v>
      </c>
    </row>
    <row r="15" spans="1:50" x14ac:dyDescent="0.25">
      <c r="A15" s="1">
        <v>43709</v>
      </c>
      <c r="B15">
        <v>222</v>
      </c>
      <c r="C15">
        <v>9</v>
      </c>
      <c r="D15" t="s">
        <v>13</v>
      </c>
      <c r="E15">
        <v>160.47</v>
      </c>
      <c r="F15">
        <v>113.14</v>
      </c>
      <c r="G15" s="31">
        <f>HT!L50</f>
        <v>4.4252910056870363</v>
      </c>
      <c r="I15" s="13">
        <f t="shared" si="1"/>
        <v>38.466615395690845</v>
      </c>
      <c r="J15" t="s">
        <v>61</v>
      </c>
      <c r="K15" s="13">
        <f t="shared" si="2"/>
        <v>2</v>
      </c>
      <c r="L15" s="12">
        <f t="shared" si="3"/>
        <v>2.9333269244613556</v>
      </c>
      <c r="N15" s="19">
        <f t="shared" si="4"/>
        <v>4.9333269244613556</v>
      </c>
      <c r="O15" t="s">
        <v>39</v>
      </c>
      <c r="P15" s="13">
        <f t="shared" si="5"/>
        <v>76.816537932921719</v>
      </c>
      <c r="Q15" t="s">
        <v>61</v>
      </c>
      <c r="R15" s="13">
        <f t="shared" si="6"/>
        <v>2</v>
      </c>
      <c r="S15" s="12">
        <f t="shared" si="7"/>
        <v>6.2816537932921719</v>
      </c>
      <c r="U15" s="19">
        <f t="shared" si="8"/>
        <v>8.2816537932921719</v>
      </c>
      <c r="V15" t="s">
        <v>39</v>
      </c>
      <c r="W15" s="13">
        <f t="shared" si="9"/>
        <v>111.24873257705006</v>
      </c>
      <c r="X15" t="s">
        <v>61</v>
      </c>
      <c r="Y15" s="13">
        <f t="shared" si="10"/>
        <v>2</v>
      </c>
      <c r="Z15" s="12">
        <f t="shared" si="11"/>
        <v>12.031091572131258</v>
      </c>
      <c r="AB15" s="19">
        <f t="shared" si="12"/>
        <v>14.031091572131258</v>
      </c>
      <c r="AC15" t="s">
        <v>39</v>
      </c>
      <c r="AD15" s="14">
        <f t="shared" si="13"/>
        <v>-0.87</v>
      </c>
      <c r="AE15" t="str">
        <f t="shared" si="14"/>
        <v>SINGLE</v>
      </c>
      <c r="AF15" s="14">
        <f t="shared" si="15"/>
        <v>-1.2170000000000001</v>
      </c>
      <c r="AG15" t="str">
        <f t="shared" si="16"/>
        <v>DOUBLE</v>
      </c>
      <c r="AH15" s="14">
        <f t="shared" si="17"/>
        <v>-1.2170000000000001</v>
      </c>
      <c r="AI15" t="str">
        <f t="shared" si="18"/>
        <v>DOUBLE</v>
      </c>
      <c r="AJ15" s="34">
        <f t="shared" ca="1" si="19"/>
        <v>658</v>
      </c>
      <c r="AK15">
        <f t="shared" ca="1" si="20"/>
        <v>0.5</v>
      </c>
      <c r="AL15" s="18">
        <f t="shared" ca="1" si="21"/>
        <v>-0.435</v>
      </c>
      <c r="AM15" s="22" t="str">
        <f t="shared" ca="1" si="22"/>
        <v>SINGLE</v>
      </c>
      <c r="AN15">
        <f t="shared" ca="1" si="23"/>
        <v>160.47</v>
      </c>
      <c r="AO15">
        <f t="shared" ca="1" si="24"/>
        <v>113.14</v>
      </c>
      <c r="AP15" t="str">
        <f t="shared" ca="1" si="25"/>
        <v/>
      </c>
      <c r="AQ15" t="str">
        <f t="shared" ca="1" si="26"/>
        <v/>
      </c>
      <c r="AR15" t="str">
        <f t="shared" ca="1" si="27"/>
        <v/>
      </c>
      <c r="AS15" t="str">
        <f t="shared" ca="1" si="28"/>
        <v/>
      </c>
    </row>
    <row r="16" spans="1:50" x14ac:dyDescent="0.25">
      <c r="A16" s="1">
        <v>44067</v>
      </c>
      <c r="B16">
        <v>285</v>
      </c>
      <c r="C16">
        <v>9</v>
      </c>
      <c r="D16" t="s">
        <v>22</v>
      </c>
      <c r="E16">
        <v>211.58</v>
      </c>
      <c r="F16">
        <v>113.73</v>
      </c>
      <c r="G16" s="31">
        <f>HT!L67</f>
        <v>2.977242923504638</v>
      </c>
      <c r="I16" s="13">
        <f t="shared" si="1"/>
        <v>46.206160844631974</v>
      </c>
      <c r="J16" t="s">
        <v>61</v>
      </c>
      <c r="K16" s="13">
        <f t="shared" si="2"/>
        <v>2</v>
      </c>
      <c r="L16" s="12">
        <f t="shared" si="3"/>
        <v>3.9007701055789967</v>
      </c>
      <c r="N16" s="19">
        <f t="shared" si="4"/>
        <v>5.9007701055789967</v>
      </c>
      <c r="O16" t="s">
        <v>39</v>
      </c>
      <c r="P16" s="13">
        <f t="shared" si="5"/>
        <v>119.35748531198202</v>
      </c>
      <c r="Q16" t="s">
        <v>61</v>
      </c>
      <c r="R16" s="13">
        <f t="shared" si="6"/>
        <v>2</v>
      </c>
      <c r="S16" s="12">
        <f t="shared" si="7"/>
        <v>10.535748531198202</v>
      </c>
      <c r="U16" s="19">
        <f t="shared" si="8"/>
        <v>12.535748531198202</v>
      </c>
      <c r="V16" t="s">
        <v>39</v>
      </c>
      <c r="W16" s="13">
        <f t="shared" si="9"/>
        <v>162.16229308936158</v>
      </c>
      <c r="X16" t="s">
        <v>61</v>
      </c>
      <c r="Y16" s="13">
        <f t="shared" si="10"/>
        <v>2</v>
      </c>
      <c r="Z16" s="12">
        <f t="shared" si="11"/>
        <v>18.395286636170198</v>
      </c>
      <c r="AB16" s="19">
        <f t="shared" si="12"/>
        <v>20.395286636170198</v>
      </c>
      <c r="AC16" t="s">
        <v>39</v>
      </c>
      <c r="AD16" s="14">
        <f t="shared" si="13"/>
        <v>-1.2170000000000001</v>
      </c>
      <c r="AE16" t="str">
        <f t="shared" si="14"/>
        <v>DOUBLE</v>
      </c>
      <c r="AF16" s="14">
        <f t="shared" si="15"/>
        <v>-1.2170000000000001</v>
      </c>
      <c r="AG16" t="str">
        <f t="shared" si="16"/>
        <v>DOUBLE</v>
      </c>
      <c r="AH16" s="14">
        <f t="shared" si="17"/>
        <v>-1.2170000000000001</v>
      </c>
      <c r="AI16" t="str">
        <f t="shared" si="18"/>
        <v>DOUBLE</v>
      </c>
      <c r="AJ16" s="34">
        <f t="shared" ca="1" si="19"/>
        <v>300</v>
      </c>
      <c r="AK16">
        <f t="shared" ca="1" si="20"/>
        <v>0.7</v>
      </c>
      <c r="AL16" s="18">
        <f t="shared" ca="1" si="21"/>
        <v>-0.85189999999999999</v>
      </c>
      <c r="AM16" s="22" t="str">
        <f t="shared" ca="1" si="22"/>
        <v>DOUBLE</v>
      </c>
      <c r="AN16" t="str">
        <f t="shared" ca="1" si="23"/>
        <v/>
      </c>
      <c r="AO16" t="str">
        <f t="shared" ca="1" si="24"/>
        <v/>
      </c>
      <c r="AP16" t="str">
        <f t="shared" ca="1" si="25"/>
        <v/>
      </c>
      <c r="AQ16" t="str">
        <f t="shared" ca="1" si="26"/>
        <v/>
      </c>
      <c r="AR16">
        <f t="shared" ca="1" si="27"/>
        <v>211.58</v>
      </c>
      <c r="AS16">
        <f t="shared" ca="1" si="28"/>
        <v>113.73</v>
      </c>
    </row>
    <row r="17" spans="1:45" x14ac:dyDescent="0.25">
      <c r="A17" s="1">
        <v>44061</v>
      </c>
      <c r="B17">
        <v>287</v>
      </c>
      <c r="C17">
        <v>9</v>
      </c>
      <c r="D17" t="s">
        <v>66</v>
      </c>
      <c r="E17">
        <v>221.41</v>
      </c>
      <c r="F17">
        <v>103.68</v>
      </c>
      <c r="G17" s="31">
        <f>HT!L46</f>
        <v>3.1450378444380611</v>
      </c>
      <c r="I17" s="13">
        <f t="shared" si="1"/>
        <v>47.702520897747114</v>
      </c>
      <c r="J17" t="s">
        <v>61</v>
      </c>
      <c r="K17" s="13">
        <f t="shared" si="2"/>
        <v>2</v>
      </c>
      <c r="L17" s="12">
        <f t="shared" si="3"/>
        <v>4.0878151122183892</v>
      </c>
      <c r="N17" s="19">
        <f t="shared" si="4"/>
        <v>6.0878151122183892</v>
      </c>
      <c r="O17" t="s">
        <v>39</v>
      </c>
      <c r="P17" s="13">
        <f t="shared" si="5"/>
        <v>124.33515391875299</v>
      </c>
      <c r="Q17" t="s">
        <v>61</v>
      </c>
      <c r="R17" s="13">
        <f t="shared" si="6"/>
        <v>2</v>
      </c>
      <c r="S17" s="12">
        <f t="shared" si="7"/>
        <v>11.0335153918753</v>
      </c>
      <c r="U17" s="19">
        <f t="shared" si="8"/>
        <v>13.0335153918753</v>
      </c>
      <c r="V17" t="s">
        <v>39</v>
      </c>
      <c r="W17" s="13">
        <f t="shared" si="9"/>
        <v>171.44949839530005</v>
      </c>
      <c r="X17" t="s">
        <v>61</v>
      </c>
      <c r="Y17" s="13">
        <f t="shared" si="10"/>
        <v>2</v>
      </c>
      <c r="Z17" s="12">
        <f t="shared" si="11"/>
        <v>19.556187299412507</v>
      </c>
      <c r="AB17" s="19">
        <f t="shared" si="12"/>
        <v>21.556187299412507</v>
      </c>
      <c r="AC17" t="s">
        <v>39</v>
      </c>
      <c r="AD17" s="14">
        <f t="shared" si="13"/>
        <v>-1.2170000000000001</v>
      </c>
      <c r="AE17" t="str">
        <f t="shared" si="14"/>
        <v>DOUBLE</v>
      </c>
      <c r="AF17" s="14">
        <f t="shared" si="15"/>
        <v>-1.2170000000000001</v>
      </c>
      <c r="AG17" t="str">
        <f t="shared" si="16"/>
        <v>DOUBLE</v>
      </c>
      <c r="AH17" s="14">
        <f t="shared" si="17"/>
        <v>-1.2170000000000001</v>
      </c>
      <c r="AI17" t="str">
        <f t="shared" si="18"/>
        <v>DOUBLE</v>
      </c>
      <c r="AJ17" s="34">
        <f t="shared" ca="1" si="19"/>
        <v>306</v>
      </c>
      <c r="AK17">
        <f t="shared" ca="1" si="20"/>
        <v>0.7</v>
      </c>
      <c r="AL17" s="18">
        <f t="shared" ca="1" si="21"/>
        <v>-0.85189999999999999</v>
      </c>
      <c r="AM17" s="22" t="str">
        <f t="shared" ca="1" si="22"/>
        <v>DOUBLE</v>
      </c>
      <c r="AN17" t="str">
        <f t="shared" ca="1" si="23"/>
        <v/>
      </c>
      <c r="AO17" t="str">
        <f t="shared" ca="1" si="24"/>
        <v/>
      </c>
      <c r="AP17" t="str">
        <f t="shared" ca="1" si="25"/>
        <v/>
      </c>
      <c r="AQ17" t="str">
        <f t="shared" ca="1" si="26"/>
        <v/>
      </c>
      <c r="AR17">
        <f t="shared" ca="1" si="27"/>
        <v>221.41</v>
      </c>
      <c r="AS17">
        <f t="shared" ca="1" si="28"/>
        <v>103.68</v>
      </c>
    </row>
    <row r="18" spans="1:45" x14ac:dyDescent="0.25">
      <c r="A18" s="1">
        <v>44330</v>
      </c>
      <c r="B18">
        <v>280</v>
      </c>
      <c r="C18">
        <v>9</v>
      </c>
      <c r="D18" t="s">
        <v>22</v>
      </c>
      <c r="E18">
        <v>224.96</v>
      </c>
      <c r="F18">
        <v>112.38</v>
      </c>
      <c r="G18" s="31">
        <f>HT!L76</f>
        <v>3.6175061842207152</v>
      </c>
      <c r="I18" s="13">
        <f t="shared" si="1"/>
        <v>55.406371474768136</v>
      </c>
      <c r="J18" t="s">
        <v>61</v>
      </c>
      <c r="K18" s="13">
        <f t="shared" si="2"/>
        <v>2</v>
      </c>
      <c r="L18" s="12">
        <f t="shared" si="3"/>
        <v>5.050796434346017</v>
      </c>
      <c r="N18" s="19">
        <f t="shared" si="4"/>
        <v>7.050796434346017</v>
      </c>
      <c r="O18" t="s">
        <v>39</v>
      </c>
      <c r="P18" s="13">
        <f t="shared" si="5"/>
        <v>130.89715810513229</v>
      </c>
      <c r="Q18" t="s">
        <v>61</v>
      </c>
      <c r="R18" s="13">
        <f t="shared" si="6"/>
        <v>2</v>
      </c>
      <c r="S18" s="12">
        <f t="shared" si="7"/>
        <v>11.689715810513229</v>
      </c>
      <c r="U18" s="19">
        <f t="shared" si="8"/>
        <v>13.689715810513229</v>
      </c>
      <c r="V18" t="s">
        <v>39</v>
      </c>
      <c r="W18" s="13">
        <f t="shared" si="9"/>
        <v>175.39745152082457</v>
      </c>
      <c r="X18" t="s">
        <v>61</v>
      </c>
      <c r="Y18" s="13">
        <f t="shared" si="10"/>
        <v>2</v>
      </c>
      <c r="Z18" s="12">
        <f t="shared" si="11"/>
        <v>20.049681440103072</v>
      </c>
      <c r="AB18" s="19">
        <f t="shared" si="12"/>
        <v>22.049681440103072</v>
      </c>
      <c r="AC18" t="s">
        <v>39</v>
      </c>
      <c r="AD18" s="14">
        <f t="shared" si="13"/>
        <v>-1.2170000000000001</v>
      </c>
      <c r="AE18" t="str">
        <f t="shared" si="14"/>
        <v>DOUBLE</v>
      </c>
      <c r="AF18" s="14">
        <f t="shared" si="15"/>
        <v>-1.2170000000000001</v>
      </c>
      <c r="AG18" t="str">
        <f t="shared" si="16"/>
        <v>DOUBLE</v>
      </c>
      <c r="AH18" s="14">
        <f t="shared" si="17"/>
        <v>-1.2170000000000001</v>
      </c>
      <c r="AI18" t="str">
        <f t="shared" si="18"/>
        <v>DOUBLE</v>
      </c>
      <c r="AJ18" s="34">
        <f t="shared" ca="1" si="19"/>
        <v>37</v>
      </c>
      <c r="AK18">
        <f t="shared" ca="1" si="20"/>
        <v>1</v>
      </c>
      <c r="AL18" s="18">
        <f t="shared" ca="1" si="21"/>
        <v>-1.2170000000000001</v>
      </c>
      <c r="AM18" s="22" t="str">
        <f t="shared" ca="1" si="22"/>
        <v>DOUBLE</v>
      </c>
      <c r="AN18" t="str">
        <f t="shared" ca="1" si="23"/>
        <v/>
      </c>
      <c r="AO18" t="str">
        <f t="shared" ca="1" si="24"/>
        <v/>
      </c>
      <c r="AP18" t="str">
        <f t="shared" ca="1" si="25"/>
        <v/>
      </c>
      <c r="AQ18" t="str">
        <f t="shared" ca="1" si="26"/>
        <v/>
      </c>
      <c r="AR18">
        <f t="shared" ca="1" si="27"/>
        <v>224.96</v>
      </c>
      <c r="AS18">
        <f t="shared" ca="1" si="28"/>
        <v>112.38</v>
      </c>
    </row>
    <row r="19" spans="1:45" x14ac:dyDescent="0.25">
      <c r="A19" s="1">
        <v>43699</v>
      </c>
      <c r="B19">
        <v>296</v>
      </c>
      <c r="C19">
        <v>7</v>
      </c>
      <c r="D19" t="s">
        <v>22</v>
      </c>
      <c r="E19">
        <v>45.48</v>
      </c>
      <c r="F19">
        <v>102.29</v>
      </c>
      <c r="G19" s="31">
        <f>HT!L51</f>
        <v>4.8340221023335816</v>
      </c>
      <c r="I19" s="13">
        <f t="shared" si="1"/>
        <v>136.35422435700335</v>
      </c>
      <c r="J19" t="s">
        <v>61</v>
      </c>
      <c r="K19" s="13">
        <f t="shared" si="2"/>
        <v>2</v>
      </c>
      <c r="L19" s="12">
        <f t="shared" si="3"/>
        <v>15.169278044625418</v>
      </c>
      <c r="N19" s="19">
        <f t="shared" si="4"/>
        <v>17.169278044625418</v>
      </c>
      <c r="O19" t="s">
        <v>39</v>
      </c>
      <c r="P19" s="13">
        <f t="shared" si="5"/>
        <v>73.014207521550219</v>
      </c>
      <c r="Q19" t="s">
        <v>61</v>
      </c>
      <c r="R19" s="13">
        <f t="shared" si="6"/>
        <v>2</v>
      </c>
      <c r="S19" s="12">
        <f t="shared" si="7"/>
        <v>5.9014207521550217</v>
      </c>
      <c r="U19" s="19">
        <f t="shared" si="8"/>
        <v>7.9014207521550217</v>
      </c>
      <c r="V19" t="s">
        <v>39</v>
      </c>
      <c r="W19" s="13">
        <f t="shared" si="9"/>
        <v>5.0670010854547938</v>
      </c>
      <c r="X19" t="s">
        <v>61</v>
      </c>
      <c r="Y19" s="13">
        <f t="shared" si="10"/>
        <v>1.0134002170909588</v>
      </c>
      <c r="Z19" s="12">
        <f t="shared" si="11"/>
        <v>0</v>
      </c>
      <c r="AB19" s="19">
        <f t="shared" si="12"/>
        <v>1.0134002170909588</v>
      </c>
      <c r="AC19" t="s">
        <v>39</v>
      </c>
      <c r="AD19" s="14">
        <f t="shared" si="13"/>
        <v>-1.2170000000000001</v>
      </c>
      <c r="AE19" t="str">
        <f t="shared" si="14"/>
        <v>DOUBLE</v>
      </c>
      <c r="AF19" s="14">
        <f t="shared" si="15"/>
        <v>-1.2170000000000001</v>
      </c>
      <c r="AG19" t="str">
        <f t="shared" si="16"/>
        <v>DOUBLE</v>
      </c>
      <c r="AH19" s="14">
        <f t="shared" si="17"/>
        <v>0.3</v>
      </c>
      <c r="AI19" t="str">
        <f t="shared" si="18"/>
        <v>OUT</v>
      </c>
      <c r="AJ19" s="34">
        <f t="shared" ca="1" si="19"/>
        <v>668</v>
      </c>
      <c r="AK19">
        <f t="shared" ca="1" si="20"/>
        <v>0.5</v>
      </c>
      <c r="AL19" s="18">
        <f t="shared" ca="1" si="21"/>
        <v>0.15</v>
      </c>
      <c r="AM19" s="22" t="str">
        <f t="shared" ca="1" si="22"/>
        <v>OUT</v>
      </c>
      <c r="AN19" t="str">
        <f t="shared" ca="1" si="23"/>
        <v/>
      </c>
      <c r="AO19" t="str">
        <f t="shared" ca="1" si="24"/>
        <v/>
      </c>
      <c r="AP19">
        <f t="shared" ca="1" si="25"/>
        <v>45.48</v>
      </c>
      <c r="AQ19">
        <f t="shared" ca="1" si="26"/>
        <v>102.29</v>
      </c>
      <c r="AR19" t="str">
        <f t="shared" ca="1" si="27"/>
        <v/>
      </c>
      <c r="AS19" t="str">
        <f t="shared" ca="1" si="28"/>
        <v/>
      </c>
    </row>
    <row r="20" spans="1:45" x14ac:dyDescent="0.25">
      <c r="A20" s="1">
        <v>43675</v>
      </c>
      <c r="B20">
        <v>284</v>
      </c>
      <c r="C20">
        <v>7</v>
      </c>
      <c r="D20" t="s">
        <v>22</v>
      </c>
      <c r="E20">
        <v>47.57</v>
      </c>
      <c r="F20">
        <v>106.8</v>
      </c>
      <c r="G20" s="31">
        <f>HT!L30</f>
        <v>5.105991095998287</v>
      </c>
      <c r="I20" s="13">
        <f t="shared" si="1"/>
        <v>135.11456213154821</v>
      </c>
      <c r="J20" t="s">
        <v>61</v>
      </c>
      <c r="K20" s="13">
        <f t="shared" si="2"/>
        <v>2</v>
      </c>
      <c r="L20" s="12">
        <f t="shared" si="3"/>
        <v>15.014320266443526</v>
      </c>
      <c r="N20" s="19">
        <f t="shared" si="4"/>
        <v>17.014320266443526</v>
      </c>
      <c r="O20" t="s">
        <v>39</v>
      </c>
      <c r="P20" s="13">
        <f t="shared" si="5"/>
        <v>74.08403944170432</v>
      </c>
      <c r="Q20" t="s">
        <v>61</v>
      </c>
      <c r="R20" s="13">
        <f t="shared" si="6"/>
        <v>2</v>
      </c>
      <c r="S20" s="12">
        <f t="shared" si="7"/>
        <v>6.008403944170432</v>
      </c>
      <c r="U20" s="19">
        <f t="shared" si="8"/>
        <v>8.008403944170432</v>
      </c>
      <c r="V20" t="s">
        <v>39</v>
      </c>
      <c r="W20" s="13">
        <f t="shared" si="9"/>
        <v>7.2211425688737068</v>
      </c>
      <c r="X20" t="s">
        <v>61</v>
      </c>
      <c r="Y20" s="13">
        <f t="shared" si="10"/>
        <v>1.4442285137747413</v>
      </c>
      <c r="Z20" s="12">
        <f t="shared" si="11"/>
        <v>0</v>
      </c>
      <c r="AB20" s="19">
        <f t="shared" si="12"/>
        <v>1.4442285137747413</v>
      </c>
      <c r="AC20" t="s">
        <v>39</v>
      </c>
      <c r="AD20" s="14">
        <f t="shared" si="13"/>
        <v>-1.2170000000000001</v>
      </c>
      <c r="AE20" t="str">
        <f t="shared" si="14"/>
        <v>DOUBLE</v>
      </c>
      <c r="AF20" s="14">
        <f t="shared" si="15"/>
        <v>-1.2170000000000001</v>
      </c>
      <c r="AG20" t="str">
        <f t="shared" si="16"/>
        <v>DOUBLE</v>
      </c>
      <c r="AH20" s="14">
        <f t="shared" si="17"/>
        <v>0.3</v>
      </c>
      <c r="AI20" t="str">
        <f t="shared" si="18"/>
        <v>OUT</v>
      </c>
      <c r="AJ20" s="34">
        <f t="shared" ca="1" si="19"/>
        <v>692</v>
      </c>
      <c r="AK20">
        <f t="shared" ca="1" si="20"/>
        <v>0.5</v>
      </c>
      <c r="AL20" s="18">
        <f t="shared" ca="1" si="21"/>
        <v>0.15</v>
      </c>
      <c r="AM20" s="22" t="str">
        <f t="shared" ca="1" si="22"/>
        <v>OUT</v>
      </c>
      <c r="AN20" t="str">
        <f t="shared" ca="1" si="23"/>
        <v/>
      </c>
      <c r="AO20" t="str">
        <f t="shared" ca="1" si="24"/>
        <v/>
      </c>
      <c r="AP20">
        <f t="shared" ca="1" si="25"/>
        <v>47.57</v>
      </c>
      <c r="AQ20">
        <f t="shared" ca="1" si="26"/>
        <v>106.8</v>
      </c>
      <c r="AR20" t="str">
        <f t="shared" ca="1" si="27"/>
        <v/>
      </c>
      <c r="AS20" t="str">
        <f t="shared" ca="1" si="28"/>
        <v/>
      </c>
    </row>
    <row r="21" spans="1:45" x14ac:dyDescent="0.25">
      <c r="A21" s="1">
        <v>44363</v>
      </c>
      <c r="B21">
        <v>314</v>
      </c>
      <c r="C21">
        <v>7</v>
      </c>
      <c r="D21" t="s">
        <v>13</v>
      </c>
      <c r="E21">
        <v>72.75</v>
      </c>
      <c r="F21">
        <v>83.77</v>
      </c>
      <c r="G21" s="31">
        <f>HT!L33</f>
        <v>3.078535901307152</v>
      </c>
      <c r="I21" s="13">
        <f t="shared" si="1"/>
        <v>107.31624015031463</v>
      </c>
      <c r="J21" t="s">
        <v>61</v>
      </c>
      <c r="K21" s="13">
        <f t="shared" si="2"/>
        <v>2</v>
      </c>
      <c r="L21" s="12">
        <f t="shared" si="3"/>
        <v>11.539530018789328</v>
      </c>
      <c r="N21" s="19">
        <f t="shared" si="4"/>
        <v>13.539530018789328</v>
      </c>
      <c r="O21" t="s">
        <v>39</v>
      </c>
      <c r="P21" s="13">
        <f t="shared" si="5"/>
        <v>40.063392267754857</v>
      </c>
      <c r="Q21" t="s">
        <v>61</v>
      </c>
      <c r="R21" s="13">
        <f t="shared" si="6"/>
        <v>2</v>
      </c>
      <c r="S21" s="12">
        <f t="shared" si="7"/>
        <v>2.6063392267754857</v>
      </c>
      <c r="U21" s="19">
        <f t="shared" si="8"/>
        <v>4.6063392267754857</v>
      </c>
      <c r="V21" t="s">
        <v>39</v>
      </c>
      <c r="W21" s="13">
        <f t="shared" si="9"/>
        <v>27.945937092894205</v>
      </c>
      <c r="X21" t="s">
        <v>61</v>
      </c>
      <c r="Y21" s="13">
        <f t="shared" si="10"/>
        <v>2</v>
      </c>
      <c r="Z21" s="12">
        <f t="shared" si="11"/>
        <v>1.6182421366117756</v>
      </c>
      <c r="AB21" s="19">
        <f t="shared" si="12"/>
        <v>3.6182421366117756</v>
      </c>
      <c r="AC21" t="s">
        <v>39</v>
      </c>
      <c r="AD21" s="14">
        <f t="shared" si="13"/>
        <v>-1.2170000000000001</v>
      </c>
      <c r="AE21" t="str">
        <f t="shared" si="14"/>
        <v>DOUBLE</v>
      </c>
      <c r="AF21" s="14">
        <f t="shared" si="15"/>
        <v>-0.87</v>
      </c>
      <c r="AG21" t="str">
        <f t="shared" si="16"/>
        <v>SINGLE</v>
      </c>
      <c r="AH21" s="14">
        <f t="shared" si="17"/>
        <v>-1.2170000000000001</v>
      </c>
      <c r="AI21" t="str">
        <f t="shared" si="18"/>
        <v>DOUBLE</v>
      </c>
      <c r="AJ21" s="34">
        <f t="shared" ca="1" si="19"/>
        <v>4</v>
      </c>
      <c r="AK21">
        <f t="shared" ca="1" si="20"/>
        <v>1</v>
      </c>
      <c r="AL21" s="18">
        <f t="shared" ca="1" si="21"/>
        <v>-0.87</v>
      </c>
      <c r="AM21" s="22" t="str">
        <f t="shared" ca="1" si="22"/>
        <v>SINGLE</v>
      </c>
      <c r="AN21">
        <f t="shared" ca="1" si="23"/>
        <v>72.75</v>
      </c>
      <c r="AO21">
        <f t="shared" ca="1" si="24"/>
        <v>83.77</v>
      </c>
      <c r="AP21" t="str">
        <f t="shared" ca="1" si="25"/>
        <v/>
      </c>
      <c r="AQ21" t="str">
        <f t="shared" ca="1" si="26"/>
        <v/>
      </c>
      <c r="AR21" t="str">
        <f t="shared" ca="1" si="27"/>
        <v/>
      </c>
      <c r="AS21" t="str">
        <f t="shared" ca="1" si="28"/>
        <v/>
      </c>
    </row>
    <row r="22" spans="1:45" x14ac:dyDescent="0.25">
      <c r="A22" s="1">
        <v>44338</v>
      </c>
      <c r="B22">
        <v>221</v>
      </c>
      <c r="C22">
        <v>7</v>
      </c>
      <c r="D22" t="s">
        <v>13</v>
      </c>
      <c r="E22">
        <v>84.42</v>
      </c>
      <c r="F22">
        <v>120.96</v>
      </c>
      <c r="G22" s="31">
        <f>HT!L7</f>
        <v>5.5371252275926386</v>
      </c>
      <c r="I22" s="13">
        <f t="shared" si="1"/>
        <v>103.98681647208937</v>
      </c>
      <c r="J22" t="s">
        <v>61</v>
      </c>
      <c r="K22" s="13">
        <f t="shared" si="2"/>
        <v>2</v>
      </c>
      <c r="L22" s="12">
        <f t="shared" si="3"/>
        <v>11.123352059011172</v>
      </c>
      <c r="N22" s="19">
        <f t="shared" si="4"/>
        <v>13.123352059011172</v>
      </c>
      <c r="O22" t="s">
        <v>39</v>
      </c>
      <c r="P22" s="13">
        <f t="shared" si="5"/>
        <v>64.340174074989875</v>
      </c>
      <c r="Q22" t="s">
        <v>61</v>
      </c>
      <c r="R22" s="13">
        <f t="shared" si="6"/>
        <v>2</v>
      </c>
      <c r="S22" s="12">
        <f t="shared" si="7"/>
        <v>5.0340174074989879</v>
      </c>
      <c r="U22" s="19">
        <f t="shared" si="8"/>
        <v>7.0340174074989879</v>
      </c>
      <c r="V22" t="s">
        <v>39</v>
      </c>
      <c r="W22" s="13">
        <f t="shared" si="9"/>
        <v>40.299602975711807</v>
      </c>
      <c r="X22" t="s">
        <v>61</v>
      </c>
      <c r="Y22" s="13">
        <f t="shared" si="10"/>
        <v>2</v>
      </c>
      <c r="Z22" s="12">
        <f t="shared" si="11"/>
        <v>3.1624503719639758</v>
      </c>
      <c r="AB22" s="19">
        <f t="shared" si="12"/>
        <v>5.1624503719639758</v>
      </c>
      <c r="AC22" t="s">
        <v>39</v>
      </c>
      <c r="AD22" s="14">
        <f t="shared" si="13"/>
        <v>-1.2170000000000001</v>
      </c>
      <c r="AE22" t="str">
        <f t="shared" si="14"/>
        <v>DOUBLE</v>
      </c>
      <c r="AF22" s="14">
        <f t="shared" si="15"/>
        <v>-0.87</v>
      </c>
      <c r="AG22" t="str">
        <f t="shared" si="16"/>
        <v>SINGLE</v>
      </c>
      <c r="AH22" s="14">
        <f t="shared" si="17"/>
        <v>0.3</v>
      </c>
      <c r="AI22" t="str">
        <f t="shared" si="18"/>
        <v>OUT</v>
      </c>
      <c r="AJ22" s="34">
        <f t="shared" ca="1" si="19"/>
        <v>29</v>
      </c>
      <c r="AK22">
        <f t="shared" ca="1" si="20"/>
        <v>1</v>
      </c>
      <c r="AL22" s="18">
        <f t="shared" ca="1" si="21"/>
        <v>0.3</v>
      </c>
      <c r="AM22" s="22" t="str">
        <f t="shared" ca="1" si="22"/>
        <v>OUT</v>
      </c>
      <c r="AN22" t="str">
        <f t="shared" ca="1" si="23"/>
        <v/>
      </c>
      <c r="AO22" t="str">
        <f t="shared" ca="1" si="24"/>
        <v/>
      </c>
      <c r="AP22">
        <f t="shared" ca="1" si="25"/>
        <v>84.42</v>
      </c>
      <c r="AQ22">
        <f t="shared" ca="1" si="26"/>
        <v>120.96</v>
      </c>
      <c r="AR22" t="str">
        <f t="shared" ca="1" si="27"/>
        <v/>
      </c>
      <c r="AS22" t="str">
        <f t="shared" ca="1" si="28"/>
        <v/>
      </c>
    </row>
    <row r="23" spans="1:45" x14ac:dyDescent="0.25">
      <c r="A23" s="1">
        <v>43702</v>
      </c>
      <c r="B23">
        <v>291</v>
      </c>
      <c r="C23">
        <v>7</v>
      </c>
      <c r="D23" t="s">
        <v>13</v>
      </c>
      <c r="E23">
        <v>86.57</v>
      </c>
      <c r="F23">
        <v>82.55</v>
      </c>
      <c r="G23" s="31">
        <f>HT!L21</f>
        <v>2.7954247476961434</v>
      </c>
      <c r="I23" s="13">
        <f t="shared" si="1"/>
        <v>93.464792301700442</v>
      </c>
      <c r="J23" t="s">
        <v>61</v>
      </c>
      <c r="K23" s="13">
        <f t="shared" si="2"/>
        <v>2</v>
      </c>
      <c r="L23" s="12">
        <f t="shared" si="3"/>
        <v>9.8080990377125552</v>
      </c>
      <c r="N23" s="19">
        <f t="shared" si="4"/>
        <v>11.808099037712555</v>
      </c>
      <c r="O23" t="s">
        <v>39</v>
      </c>
      <c r="P23" s="13">
        <f t="shared" si="5"/>
        <v>29.123313685087421</v>
      </c>
      <c r="Q23" t="s">
        <v>61</v>
      </c>
      <c r="R23" s="13">
        <f t="shared" si="6"/>
        <v>2</v>
      </c>
      <c r="S23" s="12">
        <f t="shared" si="7"/>
        <v>1.5123313685087421</v>
      </c>
      <c r="U23" s="19">
        <f t="shared" si="8"/>
        <v>3.5123313685087423</v>
      </c>
      <c r="V23" t="s">
        <v>39</v>
      </c>
      <c r="W23" s="13">
        <f t="shared" si="9"/>
        <v>40.519962981226918</v>
      </c>
      <c r="X23" t="s">
        <v>61</v>
      </c>
      <c r="Y23" s="13">
        <f t="shared" si="10"/>
        <v>2</v>
      </c>
      <c r="Z23" s="12">
        <f t="shared" si="11"/>
        <v>3.1899953726533647</v>
      </c>
      <c r="AB23" s="19">
        <f t="shared" si="12"/>
        <v>5.1899953726533647</v>
      </c>
      <c r="AC23" t="s">
        <v>39</v>
      </c>
      <c r="AD23" s="14">
        <f t="shared" si="13"/>
        <v>-1.2170000000000001</v>
      </c>
      <c r="AE23" t="str">
        <f t="shared" si="14"/>
        <v>DOUBLE</v>
      </c>
      <c r="AF23" s="14">
        <f t="shared" si="15"/>
        <v>-0.87</v>
      </c>
      <c r="AG23" t="str">
        <f t="shared" si="16"/>
        <v>SINGLE</v>
      </c>
      <c r="AH23" s="14">
        <f t="shared" si="17"/>
        <v>-1.2170000000000001</v>
      </c>
      <c r="AI23" t="str">
        <f t="shared" si="18"/>
        <v>DOUBLE</v>
      </c>
      <c r="AJ23" s="34">
        <f t="shared" ca="1" si="19"/>
        <v>665</v>
      </c>
      <c r="AK23">
        <f t="shared" ca="1" si="20"/>
        <v>0.5</v>
      </c>
      <c r="AL23" s="18">
        <f t="shared" ca="1" si="21"/>
        <v>-0.435</v>
      </c>
      <c r="AM23" s="22" t="str">
        <f t="shared" ca="1" si="22"/>
        <v>SINGLE</v>
      </c>
      <c r="AN23">
        <f t="shared" ca="1" si="23"/>
        <v>86.57</v>
      </c>
      <c r="AO23">
        <f t="shared" ca="1" si="24"/>
        <v>82.55</v>
      </c>
      <c r="AP23" t="str">
        <f t="shared" ca="1" si="25"/>
        <v/>
      </c>
      <c r="AQ23" t="str">
        <f t="shared" ca="1" si="26"/>
        <v/>
      </c>
      <c r="AR23" t="str">
        <f t="shared" ca="1" si="27"/>
        <v/>
      </c>
      <c r="AS23" t="str">
        <f t="shared" ca="1" si="28"/>
        <v/>
      </c>
    </row>
    <row r="24" spans="1:45" x14ac:dyDescent="0.25">
      <c r="A24" s="1">
        <v>44362</v>
      </c>
      <c r="B24">
        <v>250</v>
      </c>
      <c r="C24">
        <v>7</v>
      </c>
      <c r="D24" t="s">
        <v>18</v>
      </c>
      <c r="E24">
        <v>86.94</v>
      </c>
      <c r="F24">
        <v>90.24</v>
      </c>
      <c r="G24" s="31">
        <f>HT!L4</f>
        <v>2.3345180990472025</v>
      </c>
      <c r="I24" s="13">
        <f t="shared" si="1"/>
        <v>93.621691930876779</v>
      </c>
      <c r="J24" t="s">
        <v>61</v>
      </c>
      <c r="K24" s="13">
        <f t="shared" si="2"/>
        <v>2</v>
      </c>
      <c r="L24" s="12">
        <f t="shared" si="3"/>
        <v>9.8277114913595973</v>
      </c>
      <c r="N24" s="19">
        <f t="shared" si="4"/>
        <v>11.827711491359597</v>
      </c>
      <c r="O24" t="s">
        <v>39</v>
      </c>
      <c r="P24" s="13">
        <f t="shared" si="5"/>
        <v>35.222453066190603</v>
      </c>
      <c r="Q24" t="s">
        <v>61</v>
      </c>
      <c r="R24" s="13">
        <f t="shared" si="6"/>
        <v>2</v>
      </c>
      <c r="S24" s="12">
        <f t="shared" si="7"/>
        <v>2.1222453066190603</v>
      </c>
      <c r="U24" s="19">
        <f t="shared" si="8"/>
        <v>4.1222453066190603</v>
      </c>
      <c r="V24" t="s">
        <v>39</v>
      </c>
      <c r="W24" s="13">
        <f t="shared" si="9"/>
        <v>38.207606572513804</v>
      </c>
      <c r="X24" t="s">
        <v>61</v>
      </c>
      <c r="Y24" s="13">
        <f t="shared" si="10"/>
        <v>2</v>
      </c>
      <c r="Z24" s="12">
        <f t="shared" si="11"/>
        <v>2.9009508215642255</v>
      </c>
      <c r="AB24" s="19">
        <f t="shared" si="12"/>
        <v>4.9009508215642255</v>
      </c>
      <c r="AC24" t="s">
        <v>39</v>
      </c>
      <c r="AD24" s="14">
        <f t="shared" si="13"/>
        <v>-1.2170000000000001</v>
      </c>
      <c r="AE24" t="str">
        <f t="shared" si="14"/>
        <v>DOUBLE</v>
      </c>
      <c r="AF24" s="14">
        <f t="shared" si="15"/>
        <v>-0.87</v>
      </c>
      <c r="AG24" t="str">
        <f t="shared" si="16"/>
        <v>SINGLE</v>
      </c>
      <c r="AH24" s="14">
        <f t="shared" si="17"/>
        <v>-1.2170000000000001</v>
      </c>
      <c r="AI24" t="str">
        <f t="shared" si="18"/>
        <v>DOUBLE</v>
      </c>
      <c r="AJ24" s="34">
        <f t="shared" ca="1" si="19"/>
        <v>5</v>
      </c>
      <c r="AK24">
        <f t="shared" ca="1" si="20"/>
        <v>1</v>
      </c>
      <c r="AL24" s="18">
        <f t="shared" ca="1" si="21"/>
        <v>-0.87</v>
      </c>
      <c r="AM24" s="22" t="str">
        <f t="shared" ca="1" si="22"/>
        <v>SINGLE</v>
      </c>
      <c r="AN24">
        <f t="shared" ca="1" si="23"/>
        <v>86.94</v>
      </c>
      <c r="AO24">
        <f t="shared" ca="1" si="24"/>
        <v>90.24</v>
      </c>
      <c r="AP24" t="str">
        <f t="shared" ca="1" si="25"/>
        <v/>
      </c>
      <c r="AQ24" t="str">
        <f t="shared" ca="1" si="26"/>
        <v/>
      </c>
      <c r="AR24" t="str">
        <f t="shared" ca="1" si="27"/>
        <v/>
      </c>
      <c r="AS24" t="str">
        <f t="shared" ca="1" si="28"/>
        <v/>
      </c>
    </row>
    <row r="25" spans="1:45" x14ac:dyDescent="0.25">
      <c r="A25" s="1">
        <v>43734</v>
      </c>
      <c r="B25">
        <v>287</v>
      </c>
      <c r="C25">
        <v>7</v>
      </c>
      <c r="D25" t="s">
        <v>13</v>
      </c>
      <c r="E25">
        <v>91.41</v>
      </c>
      <c r="F25">
        <v>83.04</v>
      </c>
      <c r="G25" s="31">
        <f>HT!L60</f>
        <v>6.0354802226170436</v>
      </c>
      <c r="I25" s="13">
        <f t="shared" si="1"/>
        <v>88.642144039954275</v>
      </c>
      <c r="J25" t="s">
        <v>61</v>
      </c>
      <c r="K25" s="13">
        <f t="shared" si="2"/>
        <v>2</v>
      </c>
      <c r="L25" s="12">
        <f t="shared" si="3"/>
        <v>9.2052680049942843</v>
      </c>
      <c r="N25" s="19">
        <f t="shared" si="4"/>
        <v>11.205268004994284</v>
      </c>
      <c r="O25" t="s">
        <v>39</v>
      </c>
      <c r="P25" s="13">
        <f t="shared" si="5"/>
        <v>26.74938690886205</v>
      </c>
      <c r="Q25" t="s">
        <v>61</v>
      </c>
      <c r="R25" s="13">
        <f t="shared" si="6"/>
        <v>2</v>
      </c>
      <c r="S25" s="12">
        <f t="shared" si="7"/>
        <v>1.274938690886205</v>
      </c>
      <c r="U25" s="19">
        <f t="shared" si="8"/>
        <v>3.2749386908862048</v>
      </c>
      <c r="V25" t="s">
        <v>39</v>
      </c>
      <c r="W25" s="13">
        <f t="shared" si="9"/>
        <v>44.748516176516958</v>
      </c>
      <c r="X25" t="s">
        <v>61</v>
      </c>
      <c r="Y25" s="13">
        <f t="shared" si="10"/>
        <v>2</v>
      </c>
      <c r="Z25" s="12">
        <f t="shared" si="11"/>
        <v>3.7185645220646197</v>
      </c>
      <c r="AB25" s="19">
        <f t="shared" si="12"/>
        <v>5.7185645220646197</v>
      </c>
      <c r="AC25" t="s">
        <v>39</v>
      </c>
      <c r="AD25" s="14">
        <f t="shared" si="13"/>
        <v>-1.2170000000000001</v>
      </c>
      <c r="AE25" t="str">
        <f t="shared" si="14"/>
        <v>DOUBLE</v>
      </c>
      <c r="AF25" s="14">
        <f t="shared" si="15"/>
        <v>0.3</v>
      </c>
      <c r="AG25" t="str">
        <f t="shared" si="16"/>
        <v>OUT</v>
      </c>
      <c r="AH25" s="14">
        <f t="shared" si="17"/>
        <v>0.3</v>
      </c>
      <c r="AI25" t="str">
        <f t="shared" si="18"/>
        <v>OUT</v>
      </c>
      <c r="AJ25" s="34">
        <f t="shared" ca="1" si="19"/>
        <v>633</v>
      </c>
      <c r="AK25">
        <f t="shared" ca="1" si="20"/>
        <v>0.5</v>
      </c>
      <c r="AL25" s="18">
        <f t="shared" ca="1" si="21"/>
        <v>0.15</v>
      </c>
      <c r="AM25" s="22" t="str">
        <f t="shared" ca="1" si="22"/>
        <v>OUT</v>
      </c>
      <c r="AN25" t="str">
        <f t="shared" ca="1" si="23"/>
        <v/>
      </c>
      <c r="AO25" t="str">
        <f t="shared" ca="1" si="24"/>
        <v/>
      </c>
      <c r="AP25">
        <f t="shared" ca="1" si="25"/>
        <v>91.41</v>
      </c>
      <c r="AQ25">
        <f t="shared" ca="1" si="26"/>
        <v>83.04</v>
      </c>
      <c r="AR25" t="str">
        <f t="shared" ca="1" si="27"/>
        <v/>
      </c>
      <c r="AS25" t="str">
        <f t="shared" ca="1" si="28"/>
        <v/>
      </c>
    </row>
    <row r="26" spans="1:45" x14ac:dyDescent="0.25">
      <c r="A26" s="1">
        <v>43701</v>
      </c>
      <c r="B26">
        <v>269</v>
      </c>
      <c r="C26">
        <v>7</v>
      </c>
      <c r="D26" t="s">
        <v>13</v>
      </c>
      <c r="E26">
        <v>101.11</v>
      </c>
      <c r="F26">
        <v>88.38</v>
      </c>
      <c r="G26" s="31">
        <f>HT!L22</f>
        <v>5.6714474930222947</v>
      </c>
      <c r="I26" s="13">
        <f t="shared" si="1"/>
        <v>79.333829480241278</v>
      </c>
      <c r="J26" t="s">
        <v>61</v>
      </c>
      <c r="K26" s="13">
        <f t="shared" si="2"/>
        <v>2</v>
      </c>
      <c r="L26" s="12">
        <f t="shared" si="3"/>
        <v>8.0417286850301597</v>
      </c>
      <c r="N26" s="19">
        <f t="shared" si="4"/>
        <v>10.04172868503016</v>
      </c>
      <c r="O26" t="s">
        <v>39</v>
      </c>
      <c r="P26" s="13">
        <f t="shared" si="5"/>
        <v>28.645357389985552</v>
      </c>
      <c r="Q26" t="s">
        <v>61</v>
      </c>
      <c r="R26" s="13">
        <f t="shared" si="6"/>
        <v>2</v>
      </c>
      <c r="S26" s="12">
        <f t="shared" si="7"/>
        <v>1.4645357389985552</v>
      </c>
      <c r="U26" s="19">
        <f t="shared" si="8"/>
        <v>3.4645357389985554</v>
      </c>
      <c r="V26" t="s">
        <v>39</v>
      </c>
      <c r="W26" s="13">
        <f t="shared" si="9"/>
        <v>52.414277635010862</v>
      </c>
      <c r="X26" t="s">
        <v>61</v>
      </c>
      <c r="Y26" s="13">
        <f t="shared" si="10"/>
        <v>2</v>
      </c>
      <c r="Z26" s="12">
        <f t="shared" si="11"/>
        <v>4.6767847043763577</v>
      </c>
      <c r="AB26" s="19">
        <f t="shared" si="12"/>
        <v>6.6767847043763577</v>
      </c>
      <c r="AC26" t="s">
        <v>39</v>
      </c>
      <c r="AD26" s="14">
        <f t="shared" si="13"/>
        <v>-1.2170000000000001</v>
      </c>
      <c r="AE26" t="str">
        <f t="shared" si="14"/>
        <v>DOUBLE</v>
      </c>
      <c r="AF26" s="14">
        <f t="shared" si="15"/>
        <v>0.3</v>
      </c>
      <c r="AG26" t="str">
        <f t="shared" si="16"/>
        <v>OUT</v>
      </c>
      <c r="AH26" s="14">
        <f t="shared" si="17"/>
        <v>-1.2170000000000001</v>
      </c>
      <c r="AI26" t="str">
        <f t="shared" si="18"/>
        <v>DOUBLE</v>
      </c>
      <c r="AJ26" s="34">
        <f t="shared" ca="1" si="19"/>
        <v>666</v>
      </c>
      <c r="AK26">
        <f t="shared" ca="1" si="20"/>
        <v>0.5</v>
      </c>
      <c r="AL26" s="18">
        <f t="shared" ca="1" si="21"/>
        <v>0.15</v>
      </c>
      <c r="AM26" s="22" t="str">
        <f t="shared" ca="1" si="22"/>
        <v>OUT</v>
      </c>
      <c r="AN26" t="str">
        <f t="shared" ca="1" si="23"/>
        <v/>
      </c>
      <c r="AO26" t="str">
        <f t="shared" ca="1" si="24"/>
        <v/>
      </c>
      <c r="AP26">
        <f t="shared" ca="1" si="25"/>
        <v>101.11</v>
      </c>
      <c r="AQ26">
        <f t="shared" ca="1" si="26"/>
        <v>88.38</v>
      </c>
      <c r="AR26" t="str">
        <f t="shared" ca="1" si="27"/>
        <v/>
      </c>
      <c r="AS26" t="str">
        <f t="shared" ca="1" si="28"/>
        <v/>
      </c>
    </row>
    <row r="27" spans="1:45" x14ac:dyDescent="0.25">
      <c r="A27" s="1">
        <v>43602</v>
      </c>
      <c r="B27">
        <v>362</v>
      </c>
      <c r="C27">
        <v>8</v>
      </c>
      <c r="D27" t="s">
        <v>13</v>
      </c>
      <c r="E27">
        <v>104.32</v>
      </c>
      <c r="F27">
        <v>46.92</v>
      </c>
      <c r="G27" s="31">
        <f>HT!L32</f>
        <v>6.9457211995004977</v>
      </c>
      <c r="I27" s="13">
        <f t="shared" si="1"/>
        <v>82.593878707807406</v>
      </c>
      <c r="J27" t="s">
        <v>61</v>
      </c>
      <c r="K27" s="13">
        <f t="shared" si="2"/>
        <v>2</v>
      </c>
      <c r="L27" s="12">
        <f t="shared" si="3"/>
        <v>8.4492348384759257</v>
      </c>
      <c r="N27" s="19">
        <f t="shared" si="4"/>
        <v>10.449234838475926</v>
      </c>
      <c r="O27" t="s">
        <v>39</v>
      </c>
      <c r="P27" s="13">
        <f t="shared" si="5"/>
        <v>13.097663913843567</v>
      </c>
      <c r="Q27" t="s">
        <v>61</v>
      </c>
      <c r="R27" s="13">
        <f t="shared" si="6"/>
        <v>2</v>
      </c>
      <c r="S27" s="12">
        <f t="shared" si="7"/>
        <v>0</v>
      </c>
      <c r="U27" s="19">
        <f t="shared" si="8"/>
        <v>2</v>
      </c>
      <c r="V27" t="s">
        <v>39</v>
      </c>
      <c r="W27" s="13">
        <f t="shared" si="9"/>
        <v>75.948329803887063</v>
      </c>
      <c r="X27" t="s">
        <v>61</v>
      </c>
      <c r="Y27" s="13">
        <f t="shared" si="10"/>
        <v>2</v>
      </c>
      <c r="Z27" s="12">
        <f t="shared" si="11"/>
        <v>7.6185412254858829</v>
      </c>
      <c r="AB27" s="19">
        <f t="shared" si="12"/>
        <v>9.6185412254858829</v>
      </c>
      <c r="AC27" t="s">
        <v>39</v>
      </c>
      <c r="AD27" s="14">
        <f t="shared" si="13"/>
        <v>-1.2170000000000001</v>
      </c>
      <c r="AE27" t="str">
        <f t="shared" si="14"/>
        <v>DOUBLE</v>
      </c>
      <c r="AF27" s="14">
        <f t="shared" si="15"/>
        <v>0.3</v>
      </c>
      <c r="AG27" t="str">
        <f t="shared" si="16"/>
        <v>OUT</v>
      </c>
      <c r="AH27" s="14">
        <f t="shared" si="17"/>
        <v>-1.2170000000000001</v>
      </c>
      <c r="AI27" t="str">
        <f t="shared" si="18"/>
        <v>DOUBLE</v>
      </c>
      <c r="AJ27" s="34">
        <f t="shared" ca="1" si="19"/>
        <v>765</v>
      </c>
      <c r="AK27">
        <f t="shared" ca="1" si="20"/>
        <v>0.3</v>
      </c>
      <c r="AL27" s="18">
        <f t="shared" ca="1" si="21"/>
        <v>0.09</v>
      </c>
      <c r="AM27" s="22" t="str">
        <f t="shared" ca="1" si="22"/>
        <v>OUT</v>
      </c>
      <c r="AN27" t="str">
        <f t="shared" ca="1" si="23"/>
        <v/>
      </c>
      <c r="AO27" t="str">
        <f t="shared" ca="1" si="24"/>
        <v/>
      </c>
      <c r="AP27">
        <f t="shared" ca="1" si="25"/>
        <v>104.32</v>
      </c>
      <c r="AQ27">
        <f t="shared" ca="1" si="26"/>
        <v>46.92</v>
      </c>
      <c r="AR27" t="str">
        <f t="shared" ca="1" si="27"/>
        <v/>
      </c>
      <c r="AS27" t="str">
        <f t="shared" ca="1" si="28"/>
        <v/>
      </c>
    </row>
    <row r="28" spans="1:45" x14ac:dyDescent="0.25">
      <c r="A28" s="1">
        <v>43611</v>
      </c>
      <c r="B28">
        <v>396</v>
      </c>
      <c r="C28">
        <v>8</v>
      </c>
      <c r="D28" t="s">
        <v>13</v>
      </c>
      <c r="E28">
        <v>108.99</v>
      </c>
      <c r="F28">
        <v>31.44</v>
      </c>
      <c r="G28" s="31">
        <f>HT!L58</f>
        <v>6.7207433959285936</v>
      </c>
      <c r="I28" s="13">
        <f t="shared" si="1"/>
        <v>86.026122195528501</v>
      </c>
      <c r="J28" t="s">
        <v>61</v>
      </c>
      <c r="K28" s="13">
        <f t="shared" si="2"/>
        <v>2</v>
      </c>
      <c r="L28" s="12">
        <f t="shared" si="3"/>
        <v>8.8782652744410626</v>
      </c>
      <c r="N28" s="19">
        <f t="shared" si="4"/>
        <v>10.878265274441063</v>
      </c>
      <c r="O28" t="s">
        <v>39</v>
      </c>
      <c r="P28" s="13">
        <f t="shared" si="5"/>
        <v>28.837366384605925</v>
      </c>
      <c r="Q28" t="s">
        <v>61</v>
      </c>
      <c r="R28" s="13">
        <f t="shared" si="6"/>
        <v>2</v>
      </c>
      <c r="S28" s="12">
        <f t="shared" si="7"/>
        <v>1.4837366384605926</v>
      </c>
      <c r="U28" s="19">
        <f t="shared" si="8"/>
        <v>3.4837366384605923</v>
      </c>
      <c r="V28" t="s">
        <v>39</v>
      </c>
      <c r="W28" s="13">
        <f t="shared" si="9"/>
        <v>90.444976090438544</v>
      </c>
      <c r="X28" t="s">
        <v>61</v>
      </c>
      <c r="Y28" s="13">
        <f t="shared" si="10"/>
        <v>2</v>
      </c>
      <c r="Z28" s="12">
        <f t="shared" si="11"/>
        <v>9.430622011304818</v>
      </c>
      <c r="AB28" s="19">
        <f t="shared" si="12"/>
        <v>11.430622011304818</v>
      </c>
      <c r="AC28" t="s">
        <v>39</v>
      </c>
      <c r="AD28" s="14">
        <f t="shared" si="13"/>
        <v>-1.2170000000000001</v>
      </c>
      <c r="AE28" t="str">
        <f t="shared" si="14"/>
        <v>DOUBLE</v>
      </c>
      <c r="AF28" s="14">
        <f t="shared" si="15"/>
        <v>0.3</v>
      </c>
      <c r="AG28" t="str">
        <f t="shared" si="16"/>
        <v>OUT</v>
      </c>
      <c r="AH28" s="14">
        <f t="shared" si="17"/>
        <v>-1.2170000000000001</v>
      </c>
      <c r="AI28" t="str">
        <f t="shared" si="18"/>
        <v>DOUBLE</v>
      </c>
      <c r="AJ28" s="34">
        <f t="shared" ca="1" si="19"/>
        <v>756</v>
      </c>
      <c r="AK28">
        <f t="shared" ca="1" si="20"/>
        <v>0.3</v>
      </c>
      <c r="AL28" s="18">
        <f t="shared" ca="1" si="21"/>
        <v>0.09</v>
      </c>
      <c r="AM28" s="22" t="str">
        <f t="shared" ca="1" si="22"/>
        <v>OUT</v>
      </c>
      <c r="AN28" t="str">
        <f t="shared" ca="1" si="23"/>
        <v/>
      </c>
      <c r="AO28" t="str">
        <f t="shared" ca="1" si="24"/>
        <v/>
      </c>
      <c r="AP28">
        <f t="shared" ca="1" si="25"/>
        <v>108.99</v>
      </c>
      <c r="AQ28">
        <f t="shared" ca="1" si="26"/>
        <v>31.44</v>
      </c>
      <c r="AR28" t="str">
        <f t="shared" ca="1" si="27"/>
        <v/>
      </c>
      <c r="AS28" t="str">
        <f t="shared" ca="1" si="28"/>
        <v/>
      </c>
    </row>
    <row r="29" spans="1:45" x14ac:dyDescent="0.25">
      <c r="A29" s="1">
        <v>43700</v>
      </c>
      <c r="B29">
        <v>327</v>
      </c>
      <c r="C29">
        <v>8</v>
      </c>
      <c r="D29" t="s">
        <v>13</v>
      </c>
      <c r="E29">
        <v>111.62</v>
      </c>
      <c r="F29">
        <v>61.18</v>
      </c>
      <c r="G29" s="31">
        <f>HT!L23</f>
        <v>6.7878647212331238</v>
      </c>
      <c r="I29" s="13">
        <f t="shared" si="1"/>
        <v>70.922611345042839</v>
      </c>
      <c r="J29" t="s">
        <v>61</v>
      </c>
      <c r="K29" s="13">
        <f t="shared" si="2"/>
        <v>2</v>
      </c>
      <c r="L29" s="12">
        <f t="shared" si="3"/>
        <v>6.9903264181303548</v>
      </c>
      <c r="N29" s="19">
        <f t="shared" si="4"/>
        <v>8.9903264181303548</v>
      </c>
      <c r="O29" t="s">
        <v>39</v>
      </c>
      <c r="P29" s="13">
        <f t="shared" si="5"/>
        <v>6.7243438341595878</v>
      </c>
      <c r="Q29" t="s">
        <v>61</v>
      </c>
      <c r="R29" s="13">
        <f t="shared" si="6"/>
        <v>1.1207239723599314</v>
      </c>
      <c r="S29" s="12">
        <f t="shared" si="7"/>
        <v>0</v>
      </c>
      <c r="U29" s="19">
        <f t="shared" si="8"/>
        <v>1.1207239723599314</v>
      </c>
      <c r="V29" t="s">
        <v>39</v>
      </c>
      <c r="W29" s="13">
        <f t="shared" si="9"/>
        <v>72.828681163398812</v>
      </c>
      <c r="X29" t="s">
        <v>61</v>
      </c>
      <c r="Y29" s="13">
        <f t="shared" si="10"/>
        <v>2</v>
      </c>
      <c r="Z29" s="12">
        <f t="shared" si="11"/>
        <v>7.2285851454248515</v>
      </c>
      <c r="AB29" s="19">
        <f t="shared" si="12"/>
        <v>9.2285851454248515</v>
      </c>
      <c r="AC29" t="s">
        <v>39</v>
      </c>
      <c r="AD29" s="14">
        <f t="shared" si="13"/>
        <v>-1.2170000000000001</v>
      </c>
      <c r="AE29" t="str">
        <f t="shared" si="14"/>
        <v>DOUBLE</v>
      </c>
      <c r="AF29" s="14">
        <f t="shared" si="15"/>
        <v>0.3</v>
      </c>
      <c r="AG29" t="str">
        <f t="shared" si="16"/>
        <v>OUT</v>
      </c>
      <c r="AH29" s="14">
        <f t="shared" si="17"/>
        <v>-1.2170000000000001</v>
      </c>
      <c r="AI29" t="str">
        <f t="shared" si="18"/>
        <v>DOUBLE</v>
      </c>
      <c r="AJ29" s="34">
        <f t="shared" ca="1" si="19"/>
        <v>667</v>
      </c>
      <c r="AK29">
        <f t="shared" ca="1" si="20"/>
        <v>0.5</v>
      </c>
      <c r="AL29" s="18">
        <f t="shared" ca="1" si="21"/>
        <v>0.15</v>
      </c>
      <c r="AM29" s="22" t="str">
        <f t="shared" ca="1" si="22"/>
        <v>OUT</v>
      </c>
      <c r="AN29" t="str">
        <f t="shared" ca="1" si="23"/>
        <v/>
      </c>
      <c r="AO29" t="str">
        <f t="shared" ca="1" si="24"/>
        <v/>
      </c>
      <c r="AP29">
        <f t="shared" ca="1" si="25"/>
        <v>111.62</v>
      </c>
      <c r="AQ29">
        <f t="shared" ca="1" si="26"/>
        <v>61.18</v>
      </c>
      <c r="AR29" t="str">
        <f t="shared" ca="1" si="27"/>
        <v/>
      </c>
      <c r="AS29" t="str">
        <f t="shared" ca="1" si="28"/>
        <v/>
      </c>
    </row>
    <row r="30" spans="1:45" x14ac:dyDescent="0.25">
      <c r="A30" s="1">
        <v>44050</v>
      </c>
      <c r="B30">
        <v>319</v>
      </c>
      <c r="C30">
        <v>8</v>
      </c>
      <c r="D30" t="s">
        <v>13</v>
      </c>
      <c r="E30">
        <v>112.38</v>
      </c>
      <c r="F30">
        <v>65.239999999999995</v>
      </c>
      <c r="G30" s="31">
        <f>HT!L48</f>
        <v>3.5694367671024678</v>
      </c>
      <c r="I30" s="13">
        <f t="shared" si="1"/>
        <v>69.212152112183318</v>
      </c>
      <c r="J30" t="s">
        <v>61</v>
      </c>
      <c r="K30" s="13">
        <f t="shared" si="2"/>
        <v>2</v>
      </c>
      <c r="L30" s="12">
        <f t="shared" si="3"/>
        <v>6.7765190140229148</v>
      </c>
      <c r="N30" s="19">
        <f t="shared" si="4"/>
        <v>8.7765190140229148</v>
      </c>
      <c r="O30" t="s">
        <v>39</v>
      </c>
      <c r="P30" s="13">
        <f t="shared" si="5"/>
        <v>9.0510772839480218</v>
      </c>
      <c r="Q30" t="s">
        <v>61</v>
      </c>
      <c r="R30" s="13">
        <f t="shared" si="6"/>
        <v>1.5085128806580037</v>
      </c>
      <c r="S30" s="12">
        <f t="shared" si="7"/>
        <v>0</v>
      </c>
      <c r="U30" s="19">
        <f t="shared" si="8"/>
        <v>1.5085128806580037</v>
      </c>
      <c r="V30" t="s">
        <v>39</v>
      </c>
      <c r="W30" s="13">
        <f t="shared" si="9"/>
        <v>71.410937537606941</v>
      </c>
      <c r="X30" t="s">
        <v>61</v>
      </c>
      <c r="Y30" s="13">
        <f t="shared" si="10"/>
        <v>2</v>
      </c>
      <c r="Z30" s="12">
        <f t="shared" si="11"/>
        <v>7.0513671922008676</v>
      </c>
      <c r="AB30" s="19">
        <f t="shared" si="12"/>
        <v>9.0513671922008676</v>
      </c>
      <c r="AC30" t="s">
        <v>39</v>
      </c>
      <c r="AD30" s="14">
        <f t="shared" si="13"/>
        <v>-1.2170000000000001</v>
      </c>
      <c r="AE30" t="str">
        <f t="shared" si="14"/>
        <v>DOUBLE</v>
      </c>
      <c r="AF30" s="14">
        <f t="shared" si="15"/>
        <v>0.3</v>
      </c>
      <c r="AG30" t="str">
        <f t="shared" si="16"/>
        <v>OUT</v>
      </c>
      <c r="AH30" s="14">
        <f t="shared" si="17"/>
        <v>-1.2170000000000001</v>
      </c>
      <c r="AI30" t="str">
        <f t="shared" si="18"/>
        <v>DOUBLE</v>
      </c>
      <c r="AJ30" s="34">
        <f t="shared" ca="1" si="19"/>
        <v>317</v>
      </c>
      <c r="AK30">
        <f t="shared" ca="1" si="20"/>
        <v>0.7</v>
      </c>
      <c r="AL30" s="18">
        <f t="shared" ca="1" si="21"/>
        <v>0.21</v>
      </c>
      <c r="AM30" s="22" t="str">
        <f t="shared" ca="1" si="22"/>
        <v>OUT</v>
      </c>
      <c r="AN30" t="str">
        <f t="shared" ca="1" si="23"/>
        <v/>
      </c>
      <c r="AO30" t="str">
        <f t="shared" ca="1" si="24"/>
        <v/>
      </c>
      <c r="AP30">
        <f t="shared" ca="1" si="25"/>
        <v>112.38</v>
      </c>
      <c r="AQ30">
        <f t="shared" ca="1" si="26"/>
        <v>65.239999999999995</v>
      </c>
      <c r="AR30" t="str">
        <f t="shared" ca="1" si="27"/>
        <v/>
      </c>
      <c r="AS30" t="str">
        <f t="shared" ca="1" si="28"/>
        <v/>
      </c>
    </row>
    <row r="31" spans="1:45" x14ac:dyDescent="0.25">
      <c r="A31" s="1">
        <v>44321</v>
      </c>
      <c r="B31">
        <v>270</v>
      </c>
      <c r="C31">
        <v>8</v>
      </c>
      <c r="D31" t="s">
        <v>13</v>
      </c>
      <c r="E31">
        <v>112.64</v>
      </c>
      <c r="F31">
        <v>91.87</v>
      </c>
      <c r="G31" s="31">
        <f>HT!L38</f>
        <v>5.9900941672043855</v>
      </c>
      <c r="I31" s="13">
        <f t="shared" si="1"/>
        <v>68.397854498514789</v>
      </c>
      <c r="J31" t="s">
        <v>61</v>
      </c>
      <c r="K31" s="13">
        <f t="shared" si="2"/>
        <v>2</v>
      </c>
      <c r="L31" s="12">
        <f t="shared" si="3"/>
        <v>6.6747318123143486</v>
      </c>
      <c r="N31" s="19">
        <f t="shared" si="4"/>
        <v>8.6747318123143486</v>
      </c>
      <c r="O31" t="s">
        <v>39</v>
      </c>
      <c r="P31" s="13">
        <f t="shared" si="5"/>
        <v>32.772953788146715</v>
      </c>
      <c r="Q31" t="s">
        <v>61</v>
      </c>
      <c r="R31" s="13">
        <f t="shared" si="6"/>
        <v>2</v>
      </c>
      <c r="S31" s="12">
        <f t="shared" si="7"/>
        <v>1.8772953788146716</v>
      </c>
      <c r="U31" s="19">
        <f t="shared" si="8"/>
        <v>3.8772953788146713</v>
      </c>
      <c r="V31" t="s">
        <v>39</v>
      </c>
      <c r="W31" s="13">
        <f t="shared" si="9"/>
        <v>63.165390048665103</v>
      </c>
      <c r="X31" t="s">
        <v>61</v>
      </c>
      <c r="Y31" s="13">
        <f t="shared" si="10"/>
        <v>2</v>
      </c>
      <c r="Z31" s="12">
        <f t="shared" si="11"/>
        <v>6.0206737560831378</v>
      </c>
      <c r="AB31" s="19">
        <f t="shared" si="12"/>
        <v>8.0206737560831378</v>
      </c>
      <c r="AC31" t="s">
        <v>39</v>
      </c>
      <c r="AD31" s="14">
        <f t="shared" si="13"/>
        <v>-1.2170000000000001</v>
      </c>
      <c r="AE31" t="str">
        <f t="shared" si="14"/>
        <v>DOUBLE</v>
      </c>
      <c r="AF31" s="14">
        <f t="shared" si="15"/>
        <v>0.3</v>
      </c>
      <c r="AG31" t="str">
        <f t="shared" si="16"/>
        <v>OUT</v>
      </c>
      <c r="AH31" s="14">
        <f t="shared" si="17"/>
        <v>-1.2170000000000001</v>
      </c>
      <c r="AI31" t="str">
        <f t="shared" si="18"/>
        <v>DOUBLE</v>
      </c>
      <c r="AJ31" s="34">
        <f t="shared" ca="1" si="19"/>
        <v>46</v>
      </c>
      <c r="AK31">
        <f t="shared" ca="1" si="20"/>
        <v>1</v>
      </c>
      <c r="AL31" s="18">
        <f t="shared" ca="1" si="21"/>
        <v>0.3</v>
      </c>
      <c r="AM31" s="22" t="str">
        <f t="shared" ca="1" si="22"/>
        <v>OUT</v>
      </c>
      <c r="AN31" t="str">
        <f t="shared" ca="1" si="23"/>
        <v/>
      </c>
      <c r="AO31" t="str">
        <f t="shared" ca="1" si="24"/>
        <v/>
      </c>
      <c r="AP31">
        <f t="shared" ca="1" si="25"/>
        <v>112.64</v>
      </c>
      <c r="AQ31">
        <f t="shared" ca="1" si="26"/>
        <v>91.87</v>
      </c>
      <c r="AR31" t="str">
        <f t="shared" ca="1" si="27"/>
        <v/>
      </c>
      <c r="AS31" t="str">
        <f t="shared" ca="1" si="28"/>
        <v/>
      </c>
    </row>
    <row r="32" spans="1:45" x14ac:dyDescent="0.25">
      <c r="A32" s="1">
        <v>43613</v>
      </c>
      <c r="B32">
        <v>358</v>
      </c>
      <c r="C32">
        <v>8</v>
      </c>
      <c r="D32" t="s">
        <v>13</v>
      </c>
      <c r="E32">
        <v>112.86</v>
      </c>
      <c r="F32">
        <v>47.56</v>
      </c>
      <c r="G32" s="31">
        <f>HT!L82</f>
        <v>6.4720223982140066</v>
      </c>
      <c r="I32" s="13">
        <f t="shared" si="1"/>
        <v>74.566300699444653</v>
      </c>
      <c r="J32" t="s">
        <v>61</v>
      </c>
      <c r="K32" s="13">
        <f t="shared" si="2"/>
        <v>2</v>
      </c>
      <c r="L32" s="12">
        <f t="shared" si="3"/>
        <v>7.4457875874305817</v>
      </c>
      <c r="N32" s="19">
        <f t="shared" si="4"/>
        <v>9.4457875874305817</v>
      </c>
      <c r="O32" t="s">
        <v>39</v>
      </c>
      <c r="P32" s="13">
        <f t="shared" si="5"/>
        <v>14.71506710823977</v>
      </c>
      <c r="Q32" t="s">
        <v>61</v>
      </c>
      <c r="R32" s="13">
        <f t="shared" si="6"/>
        <v>2</v>
      </c>
      <c r="S32" s="12">
        <f t="shared" si="7"/>
        <v>7.150671082397704E-2</v>
      </c>
      <c r="U32" s="19">
        <f t="shared" si="8"/>
        <v>2.0715067108239769</v>
      </c>
      <c r="V32" t="s">
        <v>39</v>
      </c>
      <c r="W32" s="13">
        <f t="shared" si="9"/>
        <v>81.861671128801177</v>
      </c>
      <c r="X32" t="s">
        <v>61</v>
      </c>
      <c r="Y32" s="13">
        <f t="shared" si="10"/>
        <v>2</v>
      </c>
      <c r="Z32" s="12">
        <f t="shared" si="11"/>
        <v>8.3577088911001471</v>
      </c>
      <c r="AB32" s="19">
        <f t="shared" si="12"/>
        <v>10.357708891100147</v>
      </c>
      <c r="AC32" t="s">
        <v>39</v>
      </c>
      <c r="AD32" s="14">
        <f t="shared" si="13"/>
        <v>-1.2170000000000001</v>
      </c>
      <c r="AE32" t="str">
        <f t="shared" si="14"/>
        <v>DOUBLE</v>
      </c>
      <c r="AF32" s="14">
        <f t="shared" si="15"/>
        <v>0.3</v>
      </c>
      <c r="AG32" t="str">
        <f t="shared" si="16"/>
        <v>OUT</v>
      </c>
      <c r="AH32" s="14">
        <f t="shared" si="17"/>
        <v>-1.2170000000000001</v>
      </c>
      <c r="AI32" t="str">
        <f t="shared" si="18"/>
        <v>DOUBLE</v>
      </c>
      <c r="AJ32" s="34">
        <f t="shared" ca="1" si="19"/>
        <v>754</v>
      </c>
      <c r="AK32">
        <f t="shared" ca="1" si="20"/>
        <v>0.3</v>
      </c>
      <c r="AL32" s="18">
        <f t="shared" ca="1" si="21"/>
        <v>0.09</v>
      </c>
      <c r="AM32" s="22" t="str">
        <f t="shared" ca="1" si="22"/>
        <v>OUT</v>
      </c>
      <c r="AN32" t="str">
        <f t="shared" ca="1" si="23"/>
        <v/>
      </c>
      <c r="AO32" t="str">
        <f t="shared" ca="1" si="24"/>
        <v/>
      </c>
      <c r="AP32">
        <f t="shared" ca="1" si="25"/>
        <v>112.86</v>
      </c>
      <c r="AQ32">
        <f t="shared" ca="1" si="26"/>
        <v>47.56</v>
      </c>
      <c r="AR32" t="str">
        <f t="shared" ca="1" si="27"/>
        <v/>
      </c>
      <c r="AS32" t="str">
        <f t="shared" ca="1" si="28"/>
        <v/>
      </c>
    </row>
    <row r="33" spans="1:45" x14ac:dyDescent="0.25">
      <c r="A33" s="1">
        <v>43614</v>
      </c>
      <c r="B33">
        <v>227</v>
      </c>
      <c r="C33">
        <v>8</v>
      </c>
      <c r="D33" t="s">
        <v>18</v>
      </c>
      <c r="E33">
        <v>118.2</v>
      </c>
      <c r="F33">
        <v>105.12</v>
      </c>
      <c r="G33" s="31">
        <f>HT!L56</f>
        <v>3.7208150891363703</v>
      </c>
      <c r="I33" s="13">
        <f t="shared" si="1"/>
        <v>66.710227101996892</v>
      </c>
      <c r="J33" t="s">
        <v>61</v>
      </c>
      <c r="K33" s="13">
        <f t="shared" si="2"/>
        <v>2</v>
      </c>
      <c r="L33" s="12">
        <f t="shared" si="3"/>
        <v>6.4637783877496116</v>
      </c>
      <c r="N33" s="19">
        <f t="shared" si="4"/>
        <v>8.4637783877496116</v>
      </c>
      <c r="O33" t="s">
        <v>39</v>
      </c>
      <c r="P33" s="13">
        <f t="shared" si="5"/>
        <v>47.011215683068656</v>
      </c>
      <c r="Q33" t="s">
        <v>61</v>
      </c>
      <c r="R33" s="13">
        <f t="shared" si="6"/>
        <v>2</v>
      </c>
      <c r="S33" s="12">
        <f t="shared" si="7"/>
        <v>3.3011215683068658</v>
      </c>
      <c r="U33" s="19">
        <f t="shared" si="8"/>
        <v>5.3011215683068658</v>
      </c>
      <c r="V33" t="s">
        <v>39</v>
      </c>
      <c r="W33" s="13">
        <f t="shared" si="9"/>
        <v>68.391917651137703</v>
      </c>
      <c r="X33" t="s">
        <v>61</v>
      </c>
      <c r="Y33" s="13">
        <f t="shared" si="10"/>
        <v>2</v>
      </c>
      <c r="Z33" s="12">
        <f t="shared" si="11"/>
        <v>6.6739897063922129</v>
      </c>
      <c r="AB33" s="19">
        <f t="shared" si="12"/>
        <v>8.6739897063922129</v>
      </c>
      <c r="AC33" t="s">
        <v>39</v>
      </c>
      <c r="AD33" s="14">
        <f t="shared" si="13"/>
        <v>-1.2170000000000001</v>
      </c>
      <c r="AE33" t="str">
        <f t="shared" si="14"/>
        <v>DOUBLE</v>
      </c>
      <c r="AF33" s="14">
        <f t="shared" si="15"/>
        <v>-0.87</v>
      </c>
      <c r="AG33" t="str">
        <f t="shared" si="16"/>
        <v>SINGLE</v>
      </c>
      <c r="AH33" s="14">
        <f t="shared" si="17"/>
        <v>-1.2170000000000001</v>
      </c>
      <c r="AI33" t="str">
        <f t="shared" si="18"/>
        <v>DOUBLE</v>
      </c>
      <c r="AJ33" s="34">
        <f t="shared" ca="1" si="19"/>
        <v>753</v>
      </c>
      <c r="AK33">
        <f t="shared" ca="1" si="20"/>
        <v>0.3</v>
      </c>
      <c r="AL33" s="18">
        <f t="shared" ca="1" si="21"/>
        <v>-0.26100000000000001</v>
      </c>
      <c r="AM33" s="22" t="str">
        <f t="shared" ca="1" si="22"/>
        <v>SINGLE</v>
      </c>
      <c r="AN33">
        <f t="shared" ca="1" si="23"/>
        <v>118.2</v>
      </c>
      <c r="AO33">
        <f t="shared" ca="1" si="24"/>
        <v>105.12</v>
      </c>
      <c r="AP33" t="str">
        <f t="shared" ca="1" si="25"/>
        <v/>
      </c>
      <c r="AQ33" t="str">
        <f t="shared" ca="1" si="26"/>
        <v/>
      </c>
      <c r="AR33" t="str">
        <f t="shared" ca="1" si="27"/>
        <v/>
      </c>
      <c r="AS33" t="str">
        <f t="shared" ca="1" si="28"/>
        <v/>
      </c>
    </row>
    <row r="34" spans="1:45" x14ac:dyDescent="0.25">
      <c r="A34" s="1">
        <v>43602</v>
      </c>
      <c r="B34">
        <v>253</v>
      </c>
      <c r="C34">
        <v>8</v>
      </c>
      <c r="D34" t="s">
        <v>13</v>
      </c>
      <c r="E34">
        <v>118.35</v>
      </c>
      <c r="F34">
        <v>93.61</v>
      </c>
      <c r="G34" s="31">
        <f>HT!L31</f>
        <v>4.5471118559015551</v>
      </c>
      <c r="I34" s="13">
        <f t="shared" si="1"/>
        <v>63.134416921359154</v>
      </c>
      <c r="J34" t="s">
        <v>61</v>
      </c>
      <c r="K34" s="13">
        <f t="shared" si="2"/>
        <v>2</v>
      </c>
      <c r="L34" s="12">
        <f t="shared" si="3"/>
        <v>6.0168021151698943</v>
      </c>
      <c r="N34" s="19">
        <f t="shared" si="4"/>
        <v>8.0168021151698952</v>
      </c>
      <c r="O34" t="s">
        <v>39</v>
      </c>
      <c r="P34" s="13">
        <f t="shared" si="5"/>
        <v>36.164272424590543</v>
      </c>
      <c r="Q34" t="s">
        <v>61</v>
      </c>
      <c r="R34" s="13">
        <f t="shared" si="6"/>
        <v>2</v>
      </c>
      <c r="S34" s="12">
        <f t="shared" si="7"/>
        <v>2.2164272424590541</v>
      </c>
      <c r="U34" s="19">
        <f t="shared" si="8"/>
        <v>4.2164272424590541</v>
      </c>
      <c r="V34" t="s">
        <v>39</v>
      </c>
      <c r="W34" s="13">
        <f t="shared" si="9"/>
        <v>68.648048770522223</v>
      </c>
      <c r="X34" t="s">
        <v>61</v>
      </c>
      <c r="Y34" s="13">
        <f t="shared" si="10"/>
        <v>2</v>
      </c>
      <c r="Z34" s="12">
        <f t="shared" si="11"/>
        <v>6.7060060963152779</v>
      </c>
      <c r="AB34" s="19">
        <f t="shared" si="12"/>
        <v>8.7060060963152779</v>
      </c>
      <c r="AC34" t="s">
        <v>39</v>
      </c>
      <c r="AD34" s="14">
        <f t="shared" si="13"/>
        <v>-1.2170000000000001</v>
      </c>
      <c r="AE34" t="str">
        <f t="shared" si="14"/>
        <v>DOUBLE</v>
      </c>
      <c r="AF34" s="14">
        <f t="shared" si="15"/>
        <v>0.3</v>
      </c>
      <c r="AG34" t="str">
        <f t="shared" si="16"/>
        <v>OUT</v>
      </c>
      <c r="AH34" s="14">
        <f t="shared" si="17"/>
        <v>-1.2170000000000001</v>
      </c>
      <c r="AI34" t="str">
        <f t="shared" si="18"/>
        <v>DOUBLE</v>
      </c>
      <c r="AJ34" s="34">
        <f t="shared" ca="1" si="19"/>
        <v>765</v>
      </c>
      <c r="AK34">
        <f t="shared" ca="1" si="20"/>
        <v>0.3</v>
      </c>
      <c r="AL34" s="18">
        <f t="shared" ca="1" si="21"/>
        <v>0.09</v>
      </c>
      <c r="AM34" s="22" t="str">
        <f t="shared" ca="1" si="22"/>
        <v>OUT</v>
      </c>
      <c r="AN34" t="str">
        <f t="shared" ca="1" si="23"/>
        <v/>
      </c>
      <c r="AO34" t="str">
        <f t="shared" ca="1" si="24"/>
        <v/>
      </c>
      <c r="AP34">
        <f t="shared" ca="1" si="25"/>
        <v>118.35</v>
      </c>
      <c r="AQ34">
        <f t="shared" ca="1" si="26"/>
        <v>93.61</v>
      </c>
      <c r="AR34" t="str">
        <f t="shared" ca="1" si="27"/>
        <v/>
      </c>
      <c r="AS34" t="str">
        <f t="shared" ca="1" si="28"/>
        <v/>
      </c>
    </row>
    <row r="35" spans="1:45" x14ac:dyDescent="0.25">
      <c r="A35" s="1">
        <v>44073</v>
      </c>
      <c r="B35">
        <v>172</v>
      </c>
      <c r="C35">
        <v>8</v>
      </c>
      <c r="D35" t="s">
        <v>18</v>
      </c>
      <c r="E35">
        <v>118.78</v>
      </c>
      <c r="F35">
        <v>83.36</v>
      </c>
      <c r="G35" s="31">
        <f>HT!L45</f>
        <v>1.6195280331924349</v>
      </c>
      <c r="I35" s="13">
        <f t="shared" si="1"/>
        <v>61.312135829703401</v>
      </c>
      <c r="J35" t="s">
        <v>61</v>
      </c>
      <c r="K35" s="13">
        <f t="shared" si="2"/>
        <v>2</v>
      </c>
      <c r="L35" s="12">
        <f t="shared" si="3"/>
        <v>5.7890169787129251</v>
      </c>
      <c r="N35" s="19">
        <f t="shared" si="4"/>
        <v>7.7890169787129251</v>
      </c>
      <c r="O35" t="s">
        <v>39</v>
      </c>
      <c r="P35" s="13">
        <f t="shared" si="5"/>
        <v>27.121541254139668</v>
      </c>
      <c r="Q35" t="s">
        <v>61</v>
      </c>
      <c r="R35" s="13">
        <f t="shared" si="6"/>
        <v>2</v>
      </c>
      <c r="S35" s="12">
        <f t="shared" si="7"/>
        <v>1.3121541254139668</v>
      </c>
      <c r="U35" s="19">
        <f t="shared" si="8"/>
        <v>3.3121541254139668</v>
      </c>
      <c r="V35" t="s">
        <v>39</v>
      </c>
      <c r="W35" s="13">
        <f t="shared" si="9"/>
        <v>70.764242382717555</v>
      </c>
      <c r="X35" t="s">
        <v>61</v>
      </c>
      <c r="Y35" s="13">
        <f t="shared" si="10"/>
        <v>2</v>
      </c>
      <c r="Z35" s="12">
        <f t="shared" si="11"/>
        <v>6.9705302978396944</v>
      </c>
      <c r="AB35" s="19">
        <f t="shared" si="12"/>
        <v>8.9705302978396944</v>
      </c>
      <c r="AC35" t="s">
        <v>39</v>
      </c>
      <c r="AD35" s="14">
        <f t="shared" si="13"/>
        <v>-1.2170000000000001</v>
      </c>
      <c r="AE35" t="str">
        <f t="shared" si="14"/>
        <v>DOUBLE</v>
      </c>
      <c r="AF35" s="14">
        <f t="shared" si="15"/>
        <v>-0.87</v>
      </c>
      <c r="AG35" t="str">
        <f t="shared" si="16"/>
        <v>SINGLE</v>
      </c>
      <c r="AH35" s="14">
        <f t="shared" si="17"/>
        <v>-1.2170000000000001</v>
      </c>
      <c r="AI35" t="str">
        <f t="shared" si="18"/>
        <v>DOUBLE</v>
      </c>
      <c r="AJ35" s="34">
        <f t="shared" ca="1" si="19"/>
        <v>294</v>
      </c>
      <c r="AK35">
        <f t="shared" ca="1" si="20"/>
        <v>0.7</v>
      </c>
      <c r="AL35" s="18">
        <f t="shared" ca="1" si="21"/>
        <v>-0.60899999999999999</v>
      </c>
      <c r="AM35" s="22" t="str">
        <f t="shared" ca="1" si="22"/>
        <v>SINGLE</v>
      </c>
      <c r="AN35">
        <f t="shared" ca="1" si="23"/>
        <v>118.78</v>
      </c>
      <c r="AO35">
        <f t="shared" ca="1" si="24"/>
        <v>83.36</v>
      </c>
      <c r="AP35" t="str">
        <f t="shared" ca="1" si="25"/>
        <v/>
      </c>
      <c r="AQ35" t="str">
        <f t="shared" ca="1" si="26"/>
        <v/>
      </c>
      <c r="AR35" t="str">
        <f t="shared" ca="1" si="27"/>
        <v/>
      </c>
      <c r="AS35" t="str">
        <f t="shared" ca="1" si="28"/>
        <v/>
      </c>
    </row>
    <row r="36" spans="1:45" x14ac:dyDescent="0.25">
      <c r="A36" s="1">
        <v>43603</v>
      </c>
      <c r="B36">
        <v>191</v>
      </c>
      <c r="C36">
        <v>8</v>
      </c>
      <c r="D36" t="s">
        <v>18</v>
      </c>
      <c r="E36">
        <v>120.21</v>
      </c>
      <c r="F36">
        <v>92.25</v>
      </c>
      <c r="G36" s="31">
        <f>HT!L18</f>
        <v>1.3928331296132419</v>
      </c>
      <c r="I36" s="13">
        <f t="shared" si="1"/>
        <v>61.032012911258306</v>
      </c>
      <c r="J36" t="s">
        <v>61</v>
      </c>
      <c r="K36" s="13">
        <f t="shared" si="2"/>
        <v>2</v>
      </c>
      <c r="L36" s="12">
        <f t="shared" si="3"/>
        <v>5.7540016139072883</v>
      </c>
      <c r="N36" s="19">
        <f t="shared" si="4"/>
        <v>7.7540016139072883</v>
      </c>
      <c r="O36" t="s">
        <v>39</v>
      </c>
      <c r="P36" s="13">
        <f t="shared" si="5"/>
        <v>35.656788974892279</v>
      </c>
      <c r="Q36" t="s">
        <v>61</v>
      </c>
      <c r="R36" s="13">
        <f t="shared" si="6"/>
        <v>2</v>
      </c>
      <c r="S36" s="12">
        <f t="shared" si="7"/>
        <v>2.165678897489228</v>
      </c>
      <c r="U36" s="19">
        <f t="shared" si="8"/>
        <v>4.1656788974892276</v>
      </c>
      <c r="V36" t="s">
        <v>39</v>
      </c>
      <c r="W36" s="13">
        <f t="shared" si="9"/>
        <v>70.636439604498747</v>
      </c>
      <c r="X36" t="s">
        <v>61</v>
      </c>
      <c r="Y36" s="13">
        <f t="shared" si="10"/>
        <v>2</v>
      </c>
      <c r="Z36" s="12">
        <f t="shared" si="11"/>
        <v>6.9545549505623434</v>
      </c>
      <c r="AB36" s="19">
        <f t="shared" si="12"/>
        <v>8.9545549505623434</v>
      </c>
      <c r="AC36" t="s">
        <v>39</v>
      </c>
      <c r="AD36" s="14">
        <f t="shared" si="13"/>
        <v>-1.2170000000000001</v>
      </c>
      <c r="AE36" t="str">
        <f t="shared" si="14"/>
        <v>DOUBLE</v>
      </c>
      <c r="AF36" s="14">
        <f t="shared" si="15"/>
        <v>-1.2170000000000001</v>
      </c>
      <c r="AG36" t="str">
        <f t="shared" si="16"/>
        <v>DOUBLE</v>
      </c>
      <c r="AH36" s="14">
        <f t="shared" si="17"/>
        <v>-1.2170000000000001</v>
      </c>
      <c r="AI36" t="str">
        <f t="shared" si="18"/>
        <v>DOUBLE</v>
      </c>
      <c r="AJ36" s="34">
        <f t="shared" ca="1" si="19"/>
        <v>764</v>
      </c>
      <c r="AK36">
        <f t="shared" ca="1" si="20"/>
        <v>0.3</v>
      </c>
      <c r="AL36" s="18">
        <f t="shared" ca="1" si="21"/>
        <v>-0.36510000000000004</v>
      </c>
      <c r="AM36" s="22" t="str">
        <f t="shared" ca="1" si="22"/>
        <v>DOUBLE</v>
      </c>
      <c r="AN36" t="str">
        <f t="shared" ca="1" si="23"/>
        <v/>
      </c>
      <c r="AO36" t="str">
        <f t="shared" ca="1" si="24"/>
        <v/>
      </c>
      <c r="AP36" t="str">
        <f t="shared" ca="1" si="25"/>
        <v/>
      </c>
      <c r="AQ36" t="str">
        <f t="shared" ca="1" si="26"/>
        <v/>
      </c>
      <c r="AR36">
        <f t="shared" ca="1" si="27"/>
        <v>120.21</v>
      </c>
      <c r="AS36">
        <f t="shared" ca="1" si="28"/>
        <v>92.25</v>
      </c>
    </row>
    <row r="37" spans="1:45" x14ac:dyDescent="0.25">
      <c r="A37" s="1">
        <v>44078</v>
      </c>
      <c r="B37">
        <v>366</v>
      </c>
      <c r="C37">
        <v>8</v>
      </c>
      <c r="D37" t="s">
        <v>13</v>
      </c>
      <c r="E37">
        <v>120.24</v>
      </c>
      <c r="F37">
        <v>43.61</v>
      </c>
      <c r="G37" s="31">
        <f>HT!L28</f>
        <v>7.2394094623535201</v>
      </c>
      <c r="I37" s="13">
        <f t="shared" si="1"/>
        <v>69.967776154455564</v>
      </c>
      <c r="J37" t="s">
        <v>61</v>
      </c>
      <c r="K37" s="13">
        <f t="shared" si="2"/>
        <v>2</v>
      </c>
      <c r="L37" s="12">
        <f t="shared" si="3"/>
        <v>6.8709720193069455</v>
      </c>
      <c r="N37" s="19">
        <f t="shared" si="4"/>
        <v>8.8709720193069455</v>
      </c>
      <c r="O37" t="s">
        <v>39</v>
      </c>
      <c r="P37" s="13">
        <f t="shared" si="5"/>
        <v>22.380565229680862</v>
      </c>
      <c r="Q37" t="s">
        <v>61</v>
      </c>
      <c r="R37" s="13">
        <f t="shared" si="6"/>
        <v>2</v>
      </c>
      <c r="S37" s="12">
        <f t="shared" si="7"/>
        <v>0.83805652296808619</v>
      </c>
      <c r="U37" s="19">
        <f t="shared" si="8"/>
        <v>2.8380565229680861</v>
      </c>
      <c r="V37" t="s">
        <v>39</v>
      </c>
      <c r="W37" s="13">
        <f t="shared" si="9"/>
        <v>90.074911601399862</v>
      </c>
      <c r="X37" t="s">
        <v>61</v>
      </c>
      <c r="Y37" s="13">
        <f t="shared" si="10"/>
        <v>2</v>
      </c>
      <c r="Z37" s="12">
        <f t="shared" si="11"/>
        <v>9.3843639501749827</v>
      </c>
      <c r="AB37" s="19">
        <f t="shared" si="12"/>
        <v>11.384363950174983</v>
      </c>
      <c r="AC37" t="s">
        <v>39</v>
      </c>
      <c r="AD37" s="14">
        <f t="shared" si="13"/>
        <v>-1.2170000000000001</v>
      </c>
      <c r="AE37" t="str">
        <f t="shared" si="14"/>
        <v>DOUBLE</v>
      </c>
      <c r="AF37" s="14">
        <f t="shared" si="15"/>
        <v>0.3</v>
      </c>
      <c r="AG37" t="str">
        <f t="shared" si="16"/>
        <v>OUT</v>
      </c>
      <c r="AH37" s="14">
        <f t="shared" si="17"/>
        <v>-1.2170000000000001</v>
      </c>
      <c r="AI37" t="str">
        <f t="shared" si="18"/>
        <v>DOUBLE</v>
      </c>
      <c r="AJ37" s="34">
        <f t="shared" ca="1" si="19"/>
        <v>289</v>
      </c>
      <c r="AK37">
        <f t="shared" ca="1" si="20"/>
        <v>0.7</v>
      </c>
      <c r="AL37" s="18">
        <f t="shared" ca="1" si="21"/>
        <v>0.21</v>
      </c>
      <c r="AM37" s="22" t="str">
        <f t="shared" ca="1" si="22"/>
        <v>OUT</v>
      </c>
      <c r="AN37" t="str">
        <f t="shared" ca="1" si="23"/>
        <v/>
      </c>
      <c r="AO37" t="str">
        <f t="shared" ca="1" si="24"/>
        <v/>
      </c>
      <c r="AP37">
        <f t="shared" ca="1" si="25"/>
        <v>120.24</v>
      </c>
      <c r="AQ37">
        <f t="shared" ca="1" si="26"/>
        <v>43.61</v>
      </c>
      <c r="AR37" t="str">
        <f t="shared" ca="1" si="27"/>
        <v/>
      </c>
      <c r="AS37" t="str">
        <f t="shared" ca="1" si="28"/>
        <v/>
      </c>
    </row>
    <row r="38" spans="1:45" x14ac:dyDescent="0.25">
      <c r="A38" s="1">
        <v>44089</v>
      </c>
      <c r="B38">
        <v>301</v>
      </c>
      <c r="C38">
        <v>8</v>
      </c>
      <c r="D38" t="s">
        <v>13</v>
      </c>
      <c r="E38">
        <v>120.4</v>
      </c>
      <c r="F38">
        <v>72.45</v>
      </c>
      <c r="G38" s="31">
        <f>HT!L27</f>
        <v>5.9765604678874036</v>
      </c>
      <c r="I38" s="13">
        <f t="shared" si="1"/>
        <v>60.076305645403991</v>
      </c>
      <c r="J38" t="s">
        <v>61</v>
      </c>
      <c r="K38" s="13">
        <f t="shared" si="2"/>
        <v>2</v>
      </c>
      <c r="L38" s="12">
        <f t="shared" si="3"/>
        <v>5.6345382056754989</v>
      </c>
      <c r="N38" s="19">
        <f t="shared" si="4"/>
        <v>7.6345382056754989</v>
      </c>
      <c r="O38" t="s">
        <v>39</v>
      </c>
      <c r="P38" s="13">
        <f t="shared" si="5"/>
        <v>19.803093192731286</v>
      </c>
      <c r="Q38" t="s">
        <v>61</v>
      </c>
      <c r="R38" s="13">
        <f t="shared" si="6"/>
        <v>2</v>
      </c>
      <c r="S38" s="12">
        <f t="shared" si="7"/>
        <v>0.58030931927312857</v>
      </c>
      <c r="U38" s="19">
        <f t="shared" si="8"/>
        <v>2.5803093192731286</v>
      </c>
      <c r="V38" t="s">
        <v>39</v>
      </c>
      <c r="W38" s="13">
        <f t="shared" si="9"/>
        <v>75.598693771784184</v>
      </c>
      <c r="X38" t="s">
        <v>61</v>
      </c>
      <c r="Y38" s="13">
        <f t="shared" si="10"/>
        <v>2</v>
      </c>
      <c r="Z38" s="12">
        <f t="shared" si="11"/>
        <v>7.574836721473023</v>
      </c>
      <c r="AB38" s="19">
        <f t="shared" si="12"/>
        <v>9.574836721473023</v>
      </c>
      <c r="AC38" t="s">
        <v>39</v>
      </c>
      <c r="AD38" s="14">
        <f t="shared" si="13"/>
        <v>-1.2170000000000001</v>
      </c>
      <c r="AE38" t="str">
        <f t="shared" si="14"/>
        <v>DOUBLE</v>
      </c>
      <c r="AF38" s="14">
        <f t="shared" si="15"/>
        <v>0.3</v>
      </c>
      <c r="AG38" t="str">
        <f t="shared" si="16"/>
        <v>OUT</v>
      </c>
      <c r="AH38" s="14">
        <f t="shared" si="17"/>
        <v>-1.2170000000000001</v>
      </c>
      <c r="AI38" t="str">
        <f t="shared" si="18"/>
        <v>DOUBLE</v>
      </c>
      <c r="AJ38" s="34">
        <f t="shared" ca="1" si="19"/>
        <v>278</v>
      </c>
      <c r="AK38">
        <f t="shared" ca="1" si="20"/>
        <v>0.7</v>
      </c>
      <c r="AL38" s="18">
        <f t="shared" ca="1" si="21"/>
        <v>0.21</v>
      </c>
      <c r="AM38" s="22" t="str">
        <f t="shared" ca="1" si="22"/>
        <v>OUT</v>
      </c>
      <c r="AN38" t="str">
        <f t="shared" ca="1" si="23"/>
        <v/>
      </c>
      <c r="AO38" t="str">
        <f t="shared" ca="1" si="24"/>
        <v/>
      </c>
      <c r="AP38">
        <f t="shared" ca="1" si="25"/>
        <v>120.4</v>
      </c>
      <c r="AQ38">
        <f t="shared" ca="1" si="26"/>
        <v>72.45</v>
      </c>
      <c r="AR38" t="str">
        <f t="shared" ca="1" si="27"/>
        <v/>
      </c>
      <c r="AS38" t="str">
        <f t="shared" ca="1" si="28"/>
        <v/>
      </c>
    </row>
    <row r="39" spans="1:45" x14ac:dyDescent="0.25">
      <c r="A39" s="1">
        <v>43690</v>
      </c>
      <c r="B39">
        <v>149</v>
      </c>
      <c r="C39">
        <v>8</v>
      </c>
      <c r="D39" t="s">
        <v>18</v>
      </c>
      <c r="E39">
        <v>122.01</v>
      </c>
      <c r="F39">
        <v>91.26</v>
      </c>
      <c r="G39" s="31">
        <f>HT!L16</f>
        <v>1.9500802800869399</v>
      </c>
      <c r="I39" s="13">
        <f t="shared" si="1"/>
        <v>59.073070852969877</v>
      </c>
      <c r="J39" t="s">
        <v>61</v>
      </c>
      <c r="K39" s="13">
        <f t="shared" si="2"/>
        <v>2</v>
      </c>
      <c r="L39" s="12">
        <f t="shared" si="3"/>
        <v>5.5091338566212347</v>
      </c>
      <c r="N39" s="19">
        <f t="shared" si="4"/>
        <v>7.5091338566212347</v>
      </c>
      <c r="O39" t="s">
        <v>39</v>
      </c>
      <c r="P39" s="13">
        <f t="shared" si="5"/>
        <v>35.588308473429876</v>
      </c>
      <c r="Q39" t="s">
        <v>61</v>
      </c>
      <c r="R39" s="13">
        <f t="shared" si="6"/>
        <v>2</v>
      </c>
      <c r="S39" s="12">
        <f t="shared" si="7"/>
        <v>2.1588308473429878</v>
      </c>
      <c r="U39" s="19">
        <f t="shared" si="8"/>
        <v>4.1588308473429878</v>
      </c>
      <c r="V39" t="s">
        <v>39</v>
      </c>
      <c r="W39" s="13">
        <f t="shared" si="9"/>
        <v>72.538456697120324</v>
      </c>
      <c r="X39" t="s">
        <v>61</v>
      </c>
      <c r="Y39" s="13">
        <f t="shared" si="10"/>
        <v>2</v>
      </c>
      <c r="Z39" s="12">
        <f t="shared" si="11"/>
        <v>7.1923070871400405</v>
      </c>
      <c r="AB39" s="19">
        <f t="shared" si="12"/>
        <v>9.1923070871400405</v>
      </c>
      <c r="AC39" t="s">
        <v>39</v>
      </c>
      <c r="AD39" s="14">
        <f t="shared" si="13"/>
        <v>-1.2170000000000001</v>
      </c>
      <c r="AE39" t="str">
        <f t="shared" si="14"/>
        <v>DOUBLE</v>
      </c>
      <c r="AF39" s="14">
        <f t="shared" si="15"/>
        <v>-1.2170000000000001</v>
      </c>
      <c r="AG39" t="str">
        <f t="shared" si="16"/>
        <v>DOUBLE</v>
      </c>
      <c r="AH39" s="14">
        <f t="shared" si="17"/>
        <v>-1.2170000000000001</v>
      </c>
      <c r="AI39" t="str">
        <f t="shared" si="18"/>
        <v>DOUBLE</v>
      </c>
      <c r="AJ39" s="34">
        <f t="shared" ca="1" si="19"/>
        <v>677</v>
      </c>
      <c r="AK39">
        <f t="shared" ca="1" si="20"/>
        <v>0.5</v>
      </c>
      <c r="AL39" s="18">
        <f t="shared" ca="1" si="21"/>
        <v>-0.60850000000000004</v>
      </c>
      <c r="AM39" s="22" t="str">
        <f t="shared" ca="1" si="22"/>
        <v>DOUBLE</v>
      </c>
      <c r="AN39" t="str">
        <f t="shared" ca="1" si="23"/>
        <v/>
      </c>
      <c r="AO39" t="str">
        <f t="shared" ca="1" si="24"/>
        <v/>
      </c>
      <c r="AP39" t="str">
        <f t="shared" ca="1" si="25"/>
        <v/>
      </c>
      <c r="AQ39" t="str">
        <f t="shared" ca="1" si="26"/>
        <v/>
      </c>
      <c r="AR39">
        <f t="shared" ca="1" si="27"/>
        <v>122.01</v>
      </c>
      <c r="AS39">
        <f t="shared" ca="1" si="28"/>
        <v>91.26</v>
      </c>
    </row>
    <row r="40" spans="1:45" x14ac:dyDescent="0.25">
      <c r="A40" s="1">
        <v>43602</v>
      </c>
      <c r="B40">
        <v>192</v>
      </c>
      <c r="C40">
        <v>8</v>
      </c>
      <c r="D40" t="s">
        <v>18</v>
      </c>
      <c r="E40">
        <v>124.96</v>
      </c>
      <c r="F40">
        <v>76.430000000000007</v>
      </c>
      <c r="G40" s="31">
        <f>HT!L64</f>
        <v>2.4623105019904807</v>
      </c>
      <c r="I40" s="13">
        <f t="shared" si="1"/>
        <v>55.155657008143784</v>
      </c>
      <c r="J40" t="s">
        <v>61</v>
      </c>
      <c r="K40" s="13">
        <f t="shared" si="2"/>
        <v>2</v>
      </c>
      <c r="L40" s="12">
        <f t="shared" si="3"/>
        <v>5.019457126017973</v>
      </c>
      <c r="N40" s="19">
        <f t="shared" si="4"/>
        <v>7.019457126017973</v>
      </c>
      <c r="O40" t="s">
        <v>39</v>
      </c>
      <c r="P40" s="13">
        <f t="shared" si="5"/>
        <v>25.852398341353169</v>
      </c>
      <c r="Q40" t="s">
        <v>61</v>
      </c>
      <c r="R40" s="13">
        <f t="shared" si="6"/>
        <v>2</v>
      </c>
      <c r="S40" s="12">
        <f t="shared" si="7"/>
        <v>1.185239834135317</v>
      </c>
      <c r="U40" s="19">
        <f t="shared" si="8"/>
        <v>3.185239834135317</v>
      </c>
      <c r="V40" t="s">
        <v>39</v>
      </c>
      <c r="W40" s="13">
        <f t="shared" si="9"/>
        <v>78.578282623126853</v>
      </c>
      <c r="X40" t="s">
        <v>61</v>
      </c>
      <c r="Y40" s="13">
        <f t="shared" si="10"/>
        <v>2</v>
      </c>
      <c r="Z40" s="12">
        <f t="shared" si="11"/>
        <v>7.9472853278908566</v>
      </c>
      <c r="AB40" s="19">
        <f t="shared" si="12"/>
        <v>9.9472853278908566</v>
      </c>
      <c r="AC40" t="s">
        <v>39</v>
      </c>
      <c r="AD40" s="14">
        <f t="shared" si="13"/>
        <v>-1.2170000000000001</v>
      </c>
      <c r="AE40" t="str">
        <f t="shared" si="14"/>
        <v>DOUBLE</v>
      </c>
      <c r="AF40" s="14">
        <f t="shared" si="15"/>
        <v>-0.87</v>
      </c>
      <c r="AG40" t="str">
        <f t="shared" si="16"/>
        <v>SINGLE</v>
      </c>
      <c r="AH40" s="14">
        <f t="shared" si="17"/>
        <v>-1.2170000000000001</v>
      </c>
      <c r="AI40" t="str">
        <f t="shared" si="18"/>
        <v>DOUBLE</v>
      </c>
      <c r="AJ40" s="34">
        <f t="shared" ca="1" si="19"/>
        <v>765</v>
      </c>
      <c r="AK40">
        <f t="shared" ca="1" si="20"/>
        <v>0.3</v>
      </c>
      <c r="AL40" s="18">
        <f t="shared" ca="1" si="21"/>
        <v>-0.26100000000000001</v>
      </c>
      <c r="AM40" s="22" t="str">
        <f t="shared" ca="1" si="22"/>
        <v>SINGLE</v>
      </c>
      <c r="AN40">
        <f t="shared" ca="1" si="23"/>
        <v>124.96</v>
      </c>
      <c r="AO40">
        <f t="shared" ca="1" si="24"/>
        <v>76.430000000000007</v>
      </c>
      <c r="AP40" t="str">
        <f t="shared" ca="1" si="25"/>
        <v/>
      </c>
      <c r="AQ40" t="str">
        <f t="shared" ca="1" si="26"/>
        <v/>
      </c>
      <c r="AR40" t="str">
        <f t="shared" ca="1" si="27"/>
        <v/>
      </c>
      <c r="AS40" t="str">
        <f t="shared" ca="1" si="28"/>
        <v/>
      </c>
    </row>
    <row r="41" spans="1:45" x14ac:dyDescent="0.25">
      <c r="A41" s="1">
        <v>44050</v>
      </c>
      <c r="B41">
        <v>302</v>
      </c>
      <c r="C41">
        <v>8</v>
      </c>
      <c r="D41" t="s">
        <v>13</v>
      </c>
      <c r="E41">
        <v>126.03</v>
      </c>
      <c r="F41">
        <v>71.41</v>
      </c>
      <c r="G41" s="31">
        <f>HT!L12</f>
        <v>6.7464833279327276</v>
      </c>
      <c r="I41" s="13">
        <f t="shared" si="1"/>
        <v>54.649327534746483</v>
      </c>
      <c r="J41" t="s">
        <v>61</v>
      </c>
      <c r="K41" s="13">
        <f t="shared" si="2"/>
        <v>2</v>
      </c>
      <c r="L41" s="12">
        <f t="shared" si="3"/>
        <v>4.9561659418433104</v>
      </c>
      <c r="N41" s="19">
        <f t="shared" si="4"/>
        <v>6.9561659418433104</v>
      </c>
      <c r="O41" t="s">
        <v>39</v>
      </c>
      <c r="P41" s="13">
        <f t="shared" si="5"/>
        <v>23.925906461407056</v>
      </c>
      <c r="Q41" t="s">
        <v>61</v>
      </c>
      <c r="R41" s="13">
        <f t="shared" si="6"/>
        <v>2</v>
      </c>
      <c r="S41" s="12">
        <f t="shared" si="7"/>
        <v>0.99259064614070558</v>
      </c>
      <c r="U41" s="19">
        <f t="shared" si="8"/>
        <v>2.9925906461407057</v>
      </c>
      <c r="V41" t="s">
        <v>39</v>
      </c>
      <c r="W41" s="13">
        <f t="shared" si="9"/>
        <v>81.227760033131531</v>
      </c>
      <c r="X41" t="s">
        <v>61</v>
      </c>
      <c r="Y41" s="13">
        <f t="shared" si="10"/>
        <v>2</v>
      </c>
      <c r="Z41" s="12">
        <f t="shared" si="11"/>
        <v>8.2784700041414414</v>
      </c>
      <c r="AB41" s="19">
        <f t="shared" si="12"/>
        <v>10.278470004141441</v>
      </c>
      <c r="AC41" t="s">
        <v>39</v>
      </c>
      <c r="AD41" s="14">
        <f t="shared" si="13"/>
        <v>-1.2170000000000001</v>
      </c>
      <c r="AE41" t="str">
        <f t="shared" si="14"/>
        <v>DOUBLE</v>
      </c>
      <c r="AF41" s="14">
        <f t="shared" si="15"/>
        <v>0.3</v>
      </c>
      <c r="AG41" t="str">
        <f t="shared" si="16"/>
        <v>OUT</v>
      </c>
      <c r="AH41" s="14">
        <f t="shared" si="17"/>
        <v>-1.2170000000000001</v>
      </c>
      <c r="AI41" t="str">
        <f t="shared" si="18"/>
        <v>DOUBLE</v>
      </c>
      <c r="AJ41" s="34">
        <f t="shared" ca="1" si="19"/>
        <v>317</v>
      </c>
      <c r="AK41">
        <f t="shared" ca="1" si="20"/>
        <v>0.7</v>
      </c>
      <c r="AL41" s="18">
        <f t="shared" ca="1" si="21"/>
        <v>0.21</v>
      </c>
      <c r="AM41" s="22" t="str">
        <f t="shared" ca="1" si="22"/>
        <v>OUT</v>
      </c>
      <c r="AN41" t="str">
        <f t="shared" ca="1" si="23"/>
        <v/>
      </c>
      <c r="AO41" t="str">
        <f t="shared" ca="1" si="24"/>
        <v/>
      </c>
      <c r="AP41">
        <f t="shared" ca="1" si="25"/>
        <v>126.03</v>
      </c>
      <c r="AQ41">
        <f t="shared" ca="1" si="26"/>
        <v>71.41</v>
      </c>
      <c r="AR41" t="str">
        <f t="shared" ca="1" si="27"/>
        <v/>
      </c>
      <c r="AS41" t="str">
        <f t="shared" ca="1" si="28"/>
        <v/>
      </c>
    </row>
    <row r="42" spans="1:45" x14ac:dyDescent="0.25">
      <c r="A42" s="1">
        <v>44039</v>
      </c>
      <c r="B42">
        <v>169</v>
      </c>
      <c r="C42">
        <v>8</v>
      </c>
      <c r="D42" t="s">
        <v>18</v>
      </c>
      <c r="E42">
        <v>126.21</v>
      </c>
      <c r="F42">
        <v>95.86</v>
      </c>
      <c r="G42" s="31">
        <f>HT!L15</f>
        <v>1.8359033454164471</v>
      </c>
      <c r="I42" s="13">
        <f t="shared" si="1"/>
        <v>56.079440974389186</v>
      </c>
      <c r="J42" t="s">
        <v>61</v>
      </c>
      <c r="K42" s="13">
        <f t="shared" si="2"/>
        <v>2</v>
      </c>
      <c r="L42" s="12">
        <f t="shared" si="3"/>
        <v>5.1349301217986483</v>
      </c>
      <c r="N42" s="19">
        <f t="shared" si="4"/>
        <v>7.1349301217986483</v>
      </c>
      <c r="O42" t="s">
        <v>39</v>
      </c>
      <c r="P42" s="13">
        <f t="shared" si="5"/>
        <v>41.662977570020118</v>
      </c>
      <c r="Q42" t="s">
        <v>61</v>
      </c>
      <c r="R42" s="13">
        <f t="shared" si="6"/>
        <v>2</v>
      </c>
      <c r="S42" s="12">
        <f t="shared" si="7"/>
        <v>2.766297757002012</v>
      </c>
      <c r="U42" s="19">
        <f t="shared" si="8"/>
        <v>4.766297757002012</v>
      </c>
      <c r="V42" t="s">
        <v>39</v>
      </c>
      <c r="W42" s="13">
        <f t="shared" si="9"/>
        <v>76.322366970633183</v>
      </c>
      <c r="X42" t="s">
        <v>61</v>
      </c>
      <c r="Y42" s="13">
        <f t="shared" si="10"/>
        <v>2</v>
      </c>
      <c r="Z42" s="12">
        <f t="shared" si="11"/>
        <v>7.6652958713291479</v>
      </c>
      <c r="AB42" s="19">
        <f t="shared" si="12"/>
        <v>9.6652958713291479</v>
      </c>
      <c r="AC42" t="s">
        <v>39</v>
      </c>
      <c r="AD42" s="14">
        <f t="shared" si="13"/>
        <v>-1.2170000000000001</v>
      </c>
      <c r="AE42" t="str">
        <f t="shared" si="14"/>
        <v>DOUBLE</v>
      </c>
      <c r="AF42" s="14">
        <f t="shared" si="15"/>
        <v>-1.2170000000000001</v>
      </c>
      <c r="AG42" t="str">
        <f t="shared" si="16"/>
        <v>DOUBLE</v>
      </c>
      <c r="AH42" s="14">
        <f t="shared" si="17"/>
        <v>-1.2170000000000001</v>
      </c>
      <c r="AI42" t="str">
        <f t="shared" si="18"/>
        <v>DOUBLE</v>
      </c>
      <c r="AJ42" s="34">
        <f t="shared" ca="1" si="19"/>
        <v>328</v>
      </c>
      <c r="AK42">
        <f t="shared" ca="1" si="20"/>
        <v>0.7</v>
      </c>
      <c r="AL42" s="18">
        <f t="shared" ca="1" si="21"/>
        <v>-0.85189999999999999</v>
      </c>
      <c r="AM42" s="22" t="str">
        <f t="shared" ca="1" si="22"/>
        <v>DOUBLE</v>
      </c>
      <c r="AN42" t="str">
        <f t="shared" ca="1" si="23"/>
        <v/>
      </c>
      <c r="AO42" t="str">
        <f t="shared" ca="1" si="24"/>
        <v/>
      </c>
      <c r="AP42" t="str">
        <f t="shared" ca="1" si="25"/>
        <v/>
      </c>
      <c r="AQ42" t="str">
        <f t="shared" ca="1" si="26"/>
        <v/>
      </c>
      <c r="AR42">
        <f t="shared" ca="1" si="27"/>
        <v>126.21</v>
      </c>
      <c r="AS42">
        <f t="shared" ca="1" si="28"/>
        <v>95.86</v>
      </c>
    </row>
    <row r="43" spans="1:45" x14ac:dyDescent="0.25">
      <c r="A43" s="1">
        <v>43602</v>
      </c>
      <c r="B43">
        <v>259</v>
      </c>
      <c r="C43">
        <v>8</v>
      </c>
      <c r="D43" t="s">
        <v>18</v>
      </c>
      <c r="E43">
        <v>126.45</v>
      </c>
      <c r="F43">
        <v>90.64</v>
      </c>
      <c r="G43" s="31">
        <f>HT!L74</f>
        <v>2.8931082963368784</v>
      </c>
      <c r="I43" s="13">
        <f t="shared" si="1"/>
        <v>54.596814009610483</v>
      </c>
      <c r="J43" t="s">
        <v>61</v>
      </c>
      <c r="K43" s="13">
        <f t="shared" si="2"/>
        <v>2</v>
      </c>
      <c r="L43" s="12">
        <f t="shared" si="3"/>
        <v>4.9496017512013104</v>
      </c>
      <c r="N43" s="19">
        <f t="shared" si="4"/>
        <v>6.9496017512013104</v>
      </c>
      <c r="O43" t="s">
        <v>39</v>
      </c>
      <c r="P43" s="13">
        <f t="shared" si="5"/>
        <v>37.402033367184735</v>
      </c>
      <c r="Q43" t="s">
        <v>61</v>
      </c>
      <c r="R43" s="13">
        <f t="shared" si="6"/>
        <v>2</v>
      </c>
      <c r="S43" s="12">
        <f t="shared" si="7"/>
        <v>2.3402033367184734</v>
      </c>
      <c r="U43" s="19">
        <f t="shared" si="8"/>
        <v>4.3402033367184734</v>
      </c>
      <c r="V43" t="s">
        <v>39</v>
      </c>
      <c r="W43" s="13">
        <f t="shared" si="9"/>
        <v>77.020854967989038</v>
      </c>
      <c r="X43" t="s">
        <v>61</v>
      </c>
      <c r="Y43" s="13">
        <f t="shared" si="10"/>
        <v>2</v>
      </c>
      <c r="Z43" s="12">
        <f t="shared" si="11"/>
        <v>7.7526068709986298</v>
      </c>
      <c r="AB43" s="19">
        <f t="shared" si="12"/>
        <v>9.7526068709986298</v>
      </c>
      <c r="AC43" t="s">
        <v>39</v>
      </c>
      <c r="AD43" s="14">
        <f t="shared" si="13"/>
        <v>-1.2170000000000001</v>
      </c>
      <c r="AE43" t="str">
        <f t="shared" si="14"/>
        <v>DOUBLE</v>
      </c>
      <c r="AF43" s="14">
        <f t="shared" si="15"/>
        <v>-0.87</v>
      </c>
      <c r="AG43" t="str">
        <f t="shared" si="16"/>
        <v>SINGLE</v>
      </c>
      <c r="AH43" s="14">
        <f t="shared" si="17"/>
        <v>-1.2170000000000001</v>
      </c>
      <c r="AI43" t="str">
        <f t="shared" si="18"/>
        <v>DOUBLE</v>
      </c>
      <c r="AJ43" s="34">
        <f t="shared" ca="1" si="19"/>
        <v>765</v>
      </c>
      <c r="AK43">
        <f t="shared" ca="1" si="20"/>
        <v>0.3</v>
      </c>
      <c r="AL43" s="18">
        <f t="shared" ca="1" si="21"/>
        <v>-0.26100000000000001</v>
      </c>
      <c r="AM43" s="22" t="str">
        <f t="shared" ca="1" si="22"/>
        <v>SINGLE</v>
      </c>
      <c r="AN43">
        <f t="shared" ca="1" si="23"/>
        <v>126.45</v>
      </c>
      <c r="AO43">
        <f t="shared" ca="1" si="24"/>
        <v>90.64</v>
      </c>
      <c r="AP43" t="str">
        <f t="shared" ca="1" si="25"/>
        <v/>
      </c>
      <c r="AQ43" t="str">
        <f t="shared" ca="1" si="26"/>
        <v/>
      </c>
      <c r="AR43" t="str">
        <f t="shared" ca="1" si="27"/>
        <v/>
      </c>
      <c r="AS43" t="str">
        <f t="shared" ca="1" si="28"/>
        <v/>
      </c>
    </row>
    <row r="44" spans="1:45" x14ac:dyDescent="0.25">
      <c r="A44" s="1">
        <v>43602</v>
      </c>
      <c r="B44">
        <v>323</v>
      </c>
      <c r="C44">
        <v>8</v>
      </c>
      <c r="D44" t="s">
        <v>13</v>
      </c>
      <c r="E44">
        <v>130.63999999999999</v>
      </c>
      <c r="F44">
        <v>78.569999999999993</v>
      </c>
      <c r="G44" s="31">
        <f>HT!L59</f>
        <v>6.5630915849024465</v>
      </c>
      <c r="I44" s="13">
        <f t="shared" ref="I44:I75" si="29">SQRT(($G$2-E44)^2+($I$2-F44)^2)</f>
        <v>49.380709796437728</v>
      </c>
      <c r="J44" t="s">
        <v>61</v>
      </c>
      <c r="K44" s="13">
        <f t="shared" ref="K44:K75" si="30">MIN($R$2,I44/$L$2)</f>
        <v>2</v>
      </c>
      <c r="L44" s="12">
        <f t="shared" ref="L44:L75" si="31">(MAX(0,I44-($U$2)))/$O$2</f>
        <v>4.297588724554716</v>
      </c>
      <c r="N44" s="19">
        <f t="shared" ref="N44:N75" si="32">K44+L44</f>
        <v>6.297588724554716</v>
      </c>
      <c r="O44" t="s">
        <v>39</v>
      </c>
      <c r="P44" s="13">
        <f t="shared" ref="P44:P75" si="33">SQRT(($G$3-E44)^2+($I$3-F44)^2)</f>
        <v>31.658403307810694</v>
      </c>
      <c r="Q44" t="s">
        <v>61</v>
      </c>
      <c r="R44" s="13">
        <f t="shared" ref="R44:R75" si="34">MIN($R$3,P44/$L$3)</f>
        <v>2</v>
      </c>
      <c r="S44" s="12">
        <f t="shared" ref="S44:S75" si="35">(MAX(0,P44-($U$3)))/$O$3</f>
        <v>1.7658403307810695</v>
      </c>
      <c r="U44" s="19">
        <f t="shared" ref="U44:U75" si="36">R44+S44</f>
        <v>3.7658403307810695</v>
      </c>
      <c r="V44" t="s">
        <v>39</v>
      </c>
      <c r="W44" s="13">
        <f t="shared" ref="W44:W75" si="37">SQRT(($G$4-E44)^2+($I$4-F44)^2)</f>
        <v>83.438926766827478</v>
      </c>
      <c r="X44" t="s">
        <v>61</v>
      </c>
      <c r="Y44" s="13">
        <f t="shared" ref="Y44:Y75" si="38">MIN($R$4,W44/$L$4)</f>
        <v>2</v>
      </c>
      <c r="Z44" s="12">
        <f t="shared" ref="Z44:Z75" si="39">(MAX(0,W44-($U$4)))/$O$4</f>
        <v>8.5548658458534348</v>
      </c>
      <c r="AB44" s="19">
        <f t="shared" ref="AB44:AB75" si="40">Y44+Z44</f>
        <v>10.554865845853435</v>
      </c>
      <c r="AC44" t="s">
        <v>39</v>
      </c>
      <c r="AD44" s="14">
        <f t="shared" ref="AD44:AD75" si="41">IF(N44&lt;=G44,$L$7,IF(AND(N44&gt;G44,N44&lt;=G44+$H$7,F44&gt;=$I$2),$M$7,$N$7))</f>
        <v>0.3</v>
      </c>
      <c r="AE44" t="str">
        <f t="shared" ref="AE44:AE75" si="42">IF(AD44=$L$7,"OUT",IF(AD44=$M$7,"SINGLE",IF(AD44=$N$7,"DOUBLE")))</f>
        <v>OUT</v>
      </c>
      <c r="AF44" s="14">
        <f t="shared" ref="AF44:AF75" si="43">IF(U44&lt;=G44,$L$7,IF(AND(U44&gt;G44,U44&lt;=G44+$H$7,F44&gt;=$I$3),$M$7,$N$7))</f>
        <v>0.3</v>
      </c>
      <c r="AG44" t="str">
        <f t="shared" ref="AG44:AG75" si="44">IF(AF44=$L$7,"OUT",IF(AF44=$M$7,"SINGLE",IF(AF44=$N$7,"DOUBLE")))</f>
        <v>OUT</v>
      </c>
      <c r="AH44" s="14">
        <f t="shared" ref="AH44:AH75" si="45">IF(AB44&lt;=G44,$L$7,IF(AND(AB44&gt;G44,AB44&lt;=G44+$H$7,F44&gt;=$I$4),$M$7,$N$7))</f>
        <v>-1.2170000000000001</v>
      </c>
      <c r="AI44" t="str">
        <f t="shared" ref="AI44:AI75" si="46">IF(AH44=$L$7,"OUT",IF(AH44=$M$7,"SINGLE",IF(AH44=$N$7,"DOUBLE")))</f>
        <v>DOUBLE</v>
      </c>
      <c r="AJ44" s="34">
        <f t="shared" ref="AJ44:AJ75" ca="1" si="47">_xlfn.DAYS(TODAY(),A44)</f>
        <v>765</v>
      </c>
      <c r="AK44">
        <f t="shared" ref="AK44:AK75" ca="1" si="48">IF(AJ44&lt;$AD$7,$AD$6,IF(AND(AJ44&gt;$AD$7,AJ44&lt;=$AE$7),$AE$6,IF(AND(AJ44&gt;$AE$7,AJ44&lt;=$AF$7),$AF$6,$AG$6)))</f>
        <v>0.3</v>
      </c>
      <c r="AL44" s="18">
        <f t="shared" ref="AL44:AL75" ca="1" si="49">AK44*MAX(AD44,AF44,AH44)</f>
        <v>0.09</v>
      </c>
      <c r="AM44" s="22" t="str">
        <f t="shared" ref="AM44:AM75" ca="1" si="50">IF(AL44=AK44*$L$7,"OUT",IF(AL44=AK44*$M$7,"SINGLE","DOUBLE"))</f>
        <v>OUT</v>
      </c>
      <c r="AN44" t="str">
        <f t="shared" ref="AN44:AN75" ca="1" si="51">IF($AM44="SINGLE",$E44,"")</f>
        <v/>
      </c>
      <c r="AO44" t="str">
        <f t="shared" ref="AO44:AO75" ca="1" si="52">IF($AM44="SINGLE",$F44,"")</f>
        <v/>
      </c>
      <c r="AP44">
        <f t="shared" ref="AP44:AP75" ca="1" si="53">IF($AM44="OUT",$E44,"")</f>
        <v>130.63999999999999</v>
      </c>
      <c r="AQ44">
        <f t="shared" ref="AQ44:AQ75" ca="1" si="54">IF($AM44="OUT",$F44,"")</f>
        <v>78.569999999999993</v>
      </c>
      <c r="AR44" t="str">
        <f t="shared" ref="AR44:AR75" ca="1" si="55">IF($AM44="DOUBLE",$E44,"")</f>
        <v/>
      </c>
      <c r="AS44" t="str">
        <f t="shared" ref="AS44:AS75" ca="1" si="56">IF($AM44="DOUBLE",$F44,"")</f>
        <v/>
      </c>
    </row>
    <row r="45" spans="1:45" x14ac:dyDescent="0.25">
      <c r="A45" s="1">
        <v>44297</v>
      </c>
      <c r="B45">
        <v>204</v>
      </c>
      <c r="C45">
        <v>8</v>
      </c>
      <c r="D45" t="s">
        <v>18</v>
      </c>
      <c r="E45">
        <v>130.9</v>
      </c>
      <c r="F45">
        <v>73.62</v>
      </c>
      <c r="G45" s="31">
        <f>HT!L41</f>
        <v>2.4700880992619871</v>
      </c>
      <c r="I45" s="13">
        <f t="shared" si="29"/>
        <v>49.512770069952659</v>
      </c>
      <c r="J45" t="s">
        <v>61</v>
      </c>
      <c r="K45" s="13">
        <f t="shared" si="30"/>
        <v>2</v>
      </c>
      <c r="L45" s="12">
        <f t="shared" si="31"/>
        <v>4.3140962587440823</v>
      </c>
      <c r="N45" s="19">
        <f t="shared" si="32"/>
        <v>6.3140962587440823</v>
      </c>
      <c r="O45" t="s">
        <v>39</v>
      </c>
      <c r="P45" s="13">
        <f t="shared" si="33"/>
        <v>29.262850168772015</v>
      </c>
      <c r="Q45" t="s">
        <v>61</v>
      </c>
      <c r="R45" s="13">
        <f t="shared" si="34"/>
        <v>2</v>
      </c>
      <c r="S45" s="12">
        <f t="shared" si="35"/>
        <v>1.5262850168772015</v>
      </c>
      <c r="U45" s="19">
        <f t="shared" si="36"/>
        <v>3.5262850168772015</v>
      </c>
      <c r="V45" t="s">
        <v>39</v>
      </c>
      <c r="W45" s="13">
        <f t="shared" si="37"/>
        <v>85.092387438595239</v>
      </c>
      <c r="X45" t="s">
        <v>61</v>
      </c>
      <c r="Y45" s="13">
        <f t="shared" si="38"/>
        <v>2</v>
      </c>
      <c r="Z45" s="12">
        <f t="shared" si="39"/>
        <v>8.7615484298244048</v>
      </c>
      <c r="AB45" s="19">
        <f t="shared" si="40"/>
        <v>10.761548429824405</v>
      </c>
      <c r="AC45" t="s">
        <v>39</v>
      </c>
      <c r="AD45" s="14">
        <f t="shared" si="41"/>
        <v>-1.2170000000000001</v>
      </c>
      <c r="AE45" t="str">
        <f t="shared" si="42"/>
        <v>DOUBLE</v>
      </c>
      <c r="AF45" s="14">
        <f t="shared" si="43"/>
        <v>-0.87</v>
      </c>
      <c r="AG45" t="str">
        <f t="shared" si="44"/>
        <v>SINGLE</v>
      </c>
      <c r="AH45" s="14">
        <f t="shared" si="45"/>
        <v>-1.2170000000000001</v>
      </c>
      <c r="AI45" t="str">
        <f t="shared" si="46"/>
        <v>DOUBLE</v>
      </c>
      <c r="AJ45" s="34">
        <f t="shared" ca="1" si="47"/>
        <v>70</v>
      </c>
      <c r="AK45">
        <f t="shared" ca="1" si="48"/>
        <v>1</v>
      </c>
      <c r="AL45" s="18">
        <f t="shared" ca="1" si="49"/>
        <v>-0.87</v>
      </c>
      <c r="AM45" s="22" t="str">
        <f t="shared" ca="1" si="50"/>
        <v>SINGLE</v>
      </c>
      <c r="AN45">
        <f t="shared" ca="1" si="51"/>
        <v>130.9</v>
      </c>
      <c r="AO45">
        <f t="shared" ca="1" si="52"/>
        <v>73.62</v>
      </c>
      <c r="AP45" t="str">
        <f t="shared" ca="1" si="53"/>
        <v/>
      </c>
      <c r="AQ45" t="str">
        <f t="shared" ca="1" si="54"/>
        <v/>
      </c>
      <c r="AR45" t="str">
        <f t="shared" ca="1" si="55"/>
        <v/>
      </c>
      <c r="AS45" t="str">
        <f t="shared" ca="1" si="56"/>
        <v/>
      </c>
    </row>
    <row r="46" spans="1:45" x14ac:dyDescent="0.25">
      <c r="A46" s="1">
        <v>44362</v>
      </c>
      <c r="B46">
        <v>228</v>
      </c>
      <c r="C46">
        <v>8</v>
      </c>
      <c r="D46" t="s">
        <v>18</v>
      </c>
      <c r="E46">
        <v>133.61000000000001</v>
      </c>
      <c r="F46">
        <v>98.45</v>
      </c>
      <c r="G46" s="31">
        <f>HT!L5</f>
        <v>3.9339480712034196</v>
      </c>
      <c r="I46" s="13">
        <f t="shared" si="29"/>
        <v>49.924288677957129</v>
      </c>
      <c r="J46" t="s">
        <v>61</v>
      </c>
      <c r="K46" s="13">
        <f t="shared" si="30"/>
        <v>2</v>
      </c>
      <c r="L46" s="12">
        <f t="shared" si="31"/>
        <v>4.3655360847446412</v>
      </c>
      <c r="N46" s="19">
        <f t="shared" si="32"/>
        <v>6.3655360847446412</v>
      </c>
      <c r="O46" t="s">
        <v>39</v>
      </c>
      <c r="P46" s="13">
        <f t="shared" si="33"/>
        <v>47.926345573181365</v>
      </c>
      <c r="Q46" t="s">
        <v>61</v>
      </c>
      <c r="R46" s="13">
        <f t="shared" si="34"/>
        <v>2</v>
      </c>
      <c r="S46" s="12">
        <f t="shared" si="35"/>
        <v>3.3926345573181367</v>
      </c>
      <c r="U46" s="19">
        <f t="shared" si="36"/>
        <v>5.3926345573181367</v>
      </c>
      <c r="V46" t="s">
        <v>39</v>
      </c>
      <c r="W46" s="13">
        <f t="shared" si="37"/>
        <v>83.624366066356544</v>
      </c>
      <c r="X46" t="s">
        <v>61</v>
      </c>
      <c r="Y46" s="13">
        <f t="shared" si="38"/>
        <v>2</v>
      </c>
      <c r="Z46" s="12">
        <f t="shared" si="39"/>
        <v>8.5780457582945679</v>
      </c>
      <c r="AB46" s="19">
        <f t="shared" si="40"/>
        <v>10.578045758294568</v>
      </c>
      <c r="AC46" t="s">
        <v>39</v>
      </c>
      <c r="AD46" s="14">
        <f t="shared" si="41"/>
        <v>-1.2170000000000001</v>
      </c>
      <c r="AE46" t="str">
        <f t="shared" si="42"/>
        <v>DOUBLE</v>
      </c>
      <c r="AF46" s="14">
        <f t="shared" si="43"/>
        <v>-0.87</v>
      </c>
      <c r="AG46" t="str">
        <f t="shared" si="44"/>
        <v>SINGLE</v>
      </c>
      <c r="AH46" s="14">
        <f t="shared" si="45"/>
        <v>-1.2170000000000001</v>
      </c>
      <c r="AI46" t="str">
        <f t="shared" si="46"/>
        <v>DOUBLE</v>
      </c>
      <c r="AJ46" s="34">
        <f t="shared" ca="1" si="47"/>
        <v>5</v>
      </c>
      <c r="AK46">
        <f t="shared" ca="1" si="48"/>
        <v>1</v>
      </c>
      <c r="AL46" s="18">
        <f t="shared" ca="1" si="49"/>
        <v>-0.87</v>
      </c>
      <c r="AM46" s="22" t="str">
        <f t="shared" ca="1" si="50"/>
        <v>SINGLE</v>
      </c>
      <c r="AN46">
        <f t="shared" ca="1" si="51"/>
        <v>133.61000000000001</v>
      </c>
      <c r="AO46">
        <f t="shared" ca="1" si="52"/>
        <v>98.45</v>
      </c>
      <c r="AP46" t="str">
        <f t="shared" ca="1" si="53"/>
        <v/>
      </c>
      <c r="AQ46" t="str">
        <f t="shared" ca="1" si="54"/>
        <v/>
      </c>
      <c r="AR46" t="str">
        <f t="shared" ca="1" si="55"/>
        <v/>
      </c>
      <c r="AS46" t="str">
        <f t="shared" ca="1" si="56"/>
        <v/>
      </c>
    </row>
    <row r="47" spans="1:45" x14ac:dyDescent="0.25">
      <c r="A47" s="1">
        <v>44347</v>
      </c>
      <c r="B47">
        <v>355</v>
      </c>
      <c r="C47">
        <v>8</v>
      </c>
      <c r="D47" t="s">
        <v>13</v>
      </c>
      <c r="E47">
        <v>134.28</v>
      </c>
      <c r="F47">
        <v>56.1</v>
      </c>
      <c r="G47" s="31">
        <f>HT!L35</f>
        <v>6.7753865290463668</v>
      </c>
      <c r="I47" s="13">
        <f t="shared" si="29"/>
        <v>51.590002907540139</v>
      </c>
      <c r="J47" t="s">
        <v>61</v>
      </c>
      <c r="K47" s="13">
        <f t="shared" si="30"/>
        <v>2</v>
      </c>
      <c r="L47" s="12">
        <f t="shared" si="31"/>
        <v>4.5737503634425174</v>
      </c>
      <c r="N47" s="19">
        <f t="shared" si="32"/>
        <v>6.5737503634425174</v>
      </c>
      <c r="O47" t="s">
        <v>39</v>
      </c>
      <c r="P47" s="13">
        <f t="shared" si="33"/>
        <v>29.538591706443963</v>
      </c>
      <c r="Q47" t="s">
        <v>61</v>
      </c>
      <c r="R47" s="13">
        <f t="shared" si="34"/>
        <v>2</v>
      </c>
      <c r="S47" s="12">
        <f t="shared" si="35"/>
        <v>1.5538591706443963</v>
      </c>
      <c r="U47" s="19">
        <f t="shared" si="36"/>
        <v>3.5538591706443965</v>
      </c>
      <c r="V47" t="s">
        <v>39</v>
      </c>
      <c r="W47" s="13">
        <f t="shared" si="37"/>
        <v>95.028040072391263</v>
      </c>
      <c r="X47" t="s">
        <v>61</v>
      </c>
      <c r="Y47" s="13">
        <f t="shared" si="38"/>
        <v>2</v>
      </c>
      <c r="Z47" s="12">
        <f t="shared" si="39"/>
        <v>10.003505009048908</v>
      </c>
      <c r="AB47" s="19">
        <f t="shared" si="40"/>
        <v>12.003505009048908</v>
      </c>
      <c r="AC47" t="s">
        <v>39</v>
      </c>
      <c r="AD47" s="14">
        <f t="shared" si="41"/>
        <v>0.3</v>
      </c>
      <c r="AE47" t="str">
        <f t="shared" si="42"/>
        <v>OUT</v>
      </c>
      <c r="AF47" s="14">
        <f t="shared" si="43"/>
        <v>0.3</v>
      </c>
      <c r="AG47" t="str">
        <f t="shared" si="44"/>
        <v>OUT</v>
      </c>
      <c r="AH47" s="14">
        <f t="shared" si="45"/>
        <v>-1.2170000000000001</v>
      </c>
      <c r="AI47" t="str">
        <f t="shared" si="46"/>
        <v>DOUBLE</v>
      </c>
      <c r="AJ47" s="34">
        <f t="shared" ca="1" si="47"/>
        <v>20</v>
      </c>
      <c r="AK47">
        <f t="shared" ca="1" si="48"/>
        <v>1</v>
      </c>
      <c r="AL47" s="18">
        <f t="shared" ca="1" si="49"/>
        <v>0.3</v>
      </c>
      <c r="AM47" s="22" t="str">
        <f t="shared" ca="1" si="50"/>
        <v>OUT</v>
      </c>
      <c r="AN47" t="str">
        <f t="shared" ca="1" si="51"/>
        <v/>
      </c>
      <c r="AO47" t="str">
        <f t="shared" ca="1" si="52"/>
        <v/>
      </c>
      <c r="AP47">
        <f t="shared" ca="1" si="53"/>
        <v>134.28</v>
      </c>
      <c r="AQ47">
        <f t="shared" ca="1" si="54"/>
        <v>56.1</v>
      </c>
      <c r="AR47" t="str">
        <f t="shared" ca="1" si="55"/>
        <v/>
      </c>
      <c r="AS47" t="str">
        <f t="shared" ca="1" si="56"/>
        <v/>
      </c>
    </row>
    <row r="48" spans="1:45" x14ac:dyDescent="0.25">
      <c r="A48" s="1">
        <v>44050</v>
      </c>
      <c r="B48">
        <v>360</v>
      </c>
      <c r="C48">
        <v>8</v>
      </c>
      <c r="D48" t="s">
        <v>13</v>
      </c>
      <c r="E48">
        <v>135.25</v>
      </c>
      <c r="F48">
        <v>46.88</v>
      </c>
      <c r="G48" s="31">
        <f>HT!L47</f>
        <v>7.0690110806843443</v>
      </c>
      <c r="I48" s="13">
        <f t="shared" si="29"/>
        <v>55.673125473607101</v>
      </c>
      <c r="J48" t="s">
        <v>61</v>
      </c>
      <c r="K48" s="13">
        <f t="shared" si="30"/>
        <v>2</v>
      </c>
      <c r="L48" s="12">
        <f t="shared" si="31"/>
        <v>5.0841406842008876</v>
      </c>
      <c r="N48" s="19">
        <f t="shared" si="32"/>
        <v>7.0841406842008876</v>
      </c>
      <c r="O48" t="s">
        <v>39</v>
      </c>
      <c r="P48" s="13">
        <f t="shared" si="33"/>
        <v>32.972668985085207</v>
      </c>
      <c r="Q48" t="s">
        <v>61</v>
      </c>
      <c r="R48" s="13">
        <f t="shared" si="34"/>
        <v>2</v>
      </c>
      <c r="S48" s="12">
        <f t="shared" si="35"/>
        <v>1.8972668985085206</v>
      </c>
      <c r="U48" s="19">
        <f t="shared" si="36"/>
        <v>3.8972668985085206</v>
      </c>
      <c r="V48" t="s">
        <v>39</v>
      </c>
      <c r="W48" s="13">
        <f t="shared" si="37"/>
        <v>100.44549218357187</v>
      </c>
      <c r="X48" t="s">
        <v>61</v>
      </c>
      <c r="Y48" s="13">
        <f t="shared" si="38"/>
        <v>2</v>
      </c>
      <c r="Z48" s="12">
        <f t="shared" si="39"/>
        <v>10.680686522946484</v>
      </c>
      <c r="AB48" s="19">
        <f t="shared" si="40"/>
        <v>12.680686522946484</v>
      </c>
      <c r="AC48" t="s">
        <v>39</v>
      </c>
      <c r="AD48" s="14">
        <f t="shared" si="41"/>
        <v>-1.2170000000000001</v>
      </c>
      <c r="AE48" t="str">
        <f t="shared" si="42"/>
        <v>DOUBLE</v>
      </c>
      <c r="AF48" s="14">
        <f t="shared" si="43"/>
        <v>0.3</v>
      </c>
      <c r="AG48" t="str">
        <f t="shared" si="44"/>
        <v>OUT</v>
      </c>
      <c r="AH48" s="14">
        <f t="shared" si="45"/>
        <v>-1.2170000000000001</v>
      </c>
      <c r="AI48" t="str">
        <f t="shared" si="46"/>
        <v>DOUBLE</v>
      </c>
      <c r="AJ48" s="34">
        <f t="shared" ca="1" si="47"/>
        <v>317</v>
      </c>
      <c r="AK48">
        <f t="shared" ca="1" si="48"/>
        <v>0.7</v>
      </c>
      <c r="AL48" s="18">
        <f t="shared" ca="1" si="49"/>
        <v>0.21</v>
      </c>
      <c r="AM48" s="22" t="str">
        <f t="shared" ca="1" si="50"/>
        <v>OUT</v>
      </c>
      <c r="AN48" t="str">
        <f t="shared" ca="1" si="51"/>
        <v/>
      </c>
      <c r="AO48" t="str">
        <f t="shared" ca="1" si="52"/>
        <v/>
      </c>
      <c r="AP48">
        <f t="shared" ca="1" si="53"/>
        <v>135.25</v>
      </c>
      <c r="AQ48">
        <f t="shared" ca="1" si="54"/>
        <v>46.88</v>
      </c>
      <c r="AR48" t="str">
        <f t="shared" ca="1" si="55"/>
        <v/>
      </c>
      <c r="AS48" t="str">
        <f t="shared" ca="1" si="56"/>
        <v/>
      </c>
    </row>
    <row r="49" spans="1:45" x14ac:dyDescent="0.25">
      <c r="A49" s="1">
        <v>43611</v>
      </c>
      <c r="B49">
        <v>333</v>
      </c>
      <c r="C49">
        <v>8</v>
      </c>
      <c r="D49" t="s">
        <v>13</v>
      </c>
      <c r="E49">
        <v>135.53</v>
      </c>
      <c r="F49">
        <v>58.93</v>
      </c>
      <c r="G49" s="31">
        <f>HT!L83</f>
        <v>6.9266042594223158</v>
      </c>
      <c r="I49" s="13">
        <f t="shared" si="29"/>
        <v>49.209001209128395</v>
      </c>
      <c r="J49" t="s">
        <v>61</v>
      </c>
      <c r="K49" s="13">
        <f t="shared" si="30"/>
        <v>2</v>
      </c>
      <c r="L49" s="12">
        <f t="shared" si="31"/>
        <v>4.2761251511410494</v>
      </c>
      <c r="N49" s="19">
        <f t="shared" si="32"/>
        <v>6.2761251511410494</v>
      </c>
      <c r="O49" t="s">
        <v>39</v>
      </c>
      <c r="P49" s="13">
        <f t="shared" si="33"/>
        <v>30.548744655059068</v>
      </c>
      <c r="Q49" t="s">
        <v>61</v>
      </c>
      <c r="R49" s="13">
        <f t="shared" si="34"/>
        <v>2</v>
      </c>
      <c r="S49" s="12">
        <f t="shared" si="35"/>
        <v>1.6548744655059067</v>
      </c>
      <c r="U49" s="19">
        <f t="shared" si="36"/>
        <v>3.6548744655059067</v>
      </c>
      <c r="V49" t="s">
        <v>39</v>
      </c>
      <c r="W49" s="13">
        <f t="shared" si="37"/>
        <v>94.879533093286241</v>
      </c>
      <c r="X49" t="s">
        <v>61</v>
      </c>
      <c r="Y49" s="13">
        <f t="shared" si="38"/>
        <v>2</v>
      </c>
      <c r="Z49" s="12">
        <f t="shared" si="39"/>
        <v>9.9849416366607802</v>
      </c>
      <c r="AB49" s="19">
        <f t="shared" si="40"/>
        <v>11.98494163666078</v>
      </c>
      <c r="AC49" t="s">
        <v>39</v>
      </c>
      <c r="AD49" s="14">
        <f t="shared" si="41"/>
        <v>0.3</v>
      </c>
      <c r="AE49" t="str">
        <f t="shared" si="42"/>
        <v>OUT</v>
      </c>
      <c r="AF49" s="14">
        <f t="shared" si="43"/>
        <v>0.3</v>
      </c>
      <c r="AG49" t="str">
        <f t="shared" si="44"/>
        <v>OUT</v>
      </c>
      <c r="AH49" s="14">
        <f t="shared" si="45"/>
        <v>-1.2170000000000001</v>
      </c>
      <c r="AI49" t="str">
        <f t="shared" si="46"/>
        <v>DOUBLE</v>
      </c>
      <c r="AJ49" s="34">
        <f t="shared" ca="1" si="47"/>
        <v>756</v>
      </c>
      <c r="AK49">
        <f t="shared" ca="1" si="48"/>
        <v>0.3</v>
      </c>
      <c r="AL49" s="18">
        <f t="shared" ca="1" si="49"/>
        <v>0.09</v>
      </c>
      <c r="AM49" s="22" t="str">
        <f t="shared" ca="1" si="50"/>
        <v>OUT</v>
      </c>
      <c r="AN49" t="str">
        <f t="shared" ca="1" si="51"/>
        <v/>
      </c>
      <c r="AO49" t="str">
        <f t="shared" ca="1" si="52"/>
        <v/>
      </c>
      <c r="AP49">
        <f t="shared" ca="1" si="53"/>
        <v>135.53</v>
      </c>
      <c r="AQ49">
        <f t="shared" ca="1" si="54"/>
        <v>58.93</v>
      </c>
      <c r="AR49" t="str">
        <f t="shared" ca="1" si="55"/>
        <v/>
      </c>
      <c r="AS49" t="str">
        <f t="shared" ca="1" si="56"/>
        <v/>
      </c>
    </row>
    <row r="50" spans="1:45" x14ac:dyDescent="0.25">
      <c r="A50" s="1">
        <v>44322</v>
      </c>
      <c r="B50">
        <v>313</v>
      </c>
      <c r="C50">
        <v>8</v>
      </c>
      <c r="D50" t="s">
        <v>13</v>
      </c>
      <c r="E50">
        <v>135.94999999999999</v>
      </c>
      <c r="F50">
        <v>73.56</v>
      </c>
      <c r="G50" s="31">
        <f>HT!L19</f>
        <v>6.5177393838583235</v>
      </c>
      <c r="I50" s="13">
        <f t="shared" si="29"/>
        <v>44.518267037251135</v>
      </c>
      <c r="J50" t="s">
        <v>61</v>
      </c>
      <c r="K50" s="13">
        <f t="shared" si="30"/>
        <v>2</v>
      </c>
      <c r="L50" s="12">
        <f t="shared" si="31"/>
        <v>3.6897833796563919</v>
      </c>
      <c r="N50" s="19">
        <f t="shared" si="32"/>
        <v>5.6897833796563919</v>
      </c>
      <c r="O50" t="s">
        <v>39</v>
      </c>
      <c r="P50" s="13">
        <f t="shared" si="33"/>
        <v>33.790177566861047</v>
      </c>
      <c r="Q50" t="s">
        <v>61</v>
      </c>
      <c r="R50" s="13">
        <f t="shared" si="34"/>
        <v>2</v>
      </c>
      <c r="S50" s="12">
        <f t="shared" si="35"/>
        <v>1.9790177566861047</v>
      </c>
      <c r="U50" s="19">
        <f t="shared" si="36"/>
        <v>3.9790177566861047</v>
      </c>
      <c r="V50" t="s">
        <v>39</v>
      </c>
      <c r="W50" s="13">
        <f t="shared" si="37"/>
        <v>89.924835835268553</v>
      </c>
      <c r="X50" t="s">
        <v>61</v>
      </c>
      <c r="Y50" s="13">
        <f t="shared" si="38"/>
        <v>2</v>
      </c>
      <c r="Z50" s="12">
        <f t="shared" si="39"/>
        <v>9.3656044794085691</v>
      </c>
      <c r="AB50" s="19">
        <f t="shared" si="40"/>
        <v>11.365604479408569</v>
      </c>
      <c r="AC50" t="s">
        <v>39</v>
      </c>
      <c r="AD50" s="14">
        <f t="shared" si="41"/>
        <v>0.3</v>
      </c>
      <c r="AE50" t="str">
        <f t="shared" si="42"/>
        <v>OUT</v>
      </c>
      <c r="AF50" s="14">
        <f t="shared" si="43"/>
        <v>0.3</v>
      </c>
      <c r="AG50" t="str">
        <f t="shared" si="44"/>
        <v>OUT</v>
      </c>
      <c r="AH50" s="14">
        <f t="shared" si="45"/>
        <v>-1.2170000000000001</v>
      </c>
      <c r="AI50" t="str">
        <f t="shared" si="46"/>
        <v>DOUBLE</v>
      </c>
      <c r="AJ50" s="34">
        <f t="shared" ca="1" si="47"/>
        <v>45</v>
      </c>
      <c r="AK50">
        <f t="shared" ca="1" si="48"/>
        <v>1</v>
      </c>
      <c r="AL50" s="18">
        <f t="shared" ca="1" si="49"/>
        <v>0.3</v>
      </c>
      <c r="AM50" s="22" t="str">
        <f t="shared" ca="1" si="50"/>
        <v>OUT</v>
      </c>
      <c r="AN50" t="str">
        <f t="shared" ca="1" si="51"/>
        <v/>
      </c>
      <c r="AO50" t="str">
        <f t="shared" ca="1" si="52"/>
        <v/>
      </c>
      <c r="AP50">
        <f t="shared" ca="1" si="53"/>
        <v>135.94999999999999</v>
      </c>
      <c r="AQ50">
        <f t="shared" ca="1" si="54"/>
        <v>73.56</v>
      </c>
      <c r="AR50" t="str">
        <f t="shared" ca="1" si="55"/>
        <v/>
      </c>
      <c r="AS50" t="str">
        <f t="shared" ca="1" si="56"/>
        <v/>
      </c>
    </row>
    <row r="51" spans="1:45" x14ac:dyDescent="0.25">
      <c r="A51" s="1">
        <v>43651</v>
      </c>
      <c r="C51">
        <v>8</v>
      </c>
      <c r="D51" t="s">
        <v>13</v>
      </c>
      <c r="E51">
        <v>137.25</v>
      </c>
      <c r="F51">
        <v>116.66</v>
      </c>
      <c r="G51" s="31">
        <f>HT!L80</f>
        <v>6.9330677836737387</v>
      </c>
      <c r="I51" s="13">
        <f t="shared" si="29"/>
        <v>56.316233006123554</v>
      </c>
      <c r="J51" t="s">
        <v>61</v>
      </c>
      <c r="K51" s="13">
        <f t="shared" si="30"/>
        <v>2</v>
      </c>
      <c r="L51" s="12">
        <f t="shared" si="31"/>
        <v>5.1645291257654442</v>
      </c>
      <c r="N51" s="19">
        <f t="shared" si="32"/>
        <v>7.1645291257654442</v>
      </c>
      <c r="O51" t="s">
        <v>39</v>
      </c>
      <c r="P51" s="13">
        <f t="shared" si="33"/>
        <v>65.195230653783256</v>
      </c>
      <c r="Q51" t="s">
        <v>61</v>
      </c>
      <c r="R51" s="13">
        <f t="shared" si="34"/>
        <v>2</v>
      </c>
      <c r="S51" s="12">
        <f t="shared" si="35"/>
        <v>5.1195230653783259</v>
      </c>
      <c r="U51" s="19">
        <f t="shared" si="36"/>
        <v>7.1195230653783259</v>
      </c>
      <c r="V51" t="s">
        <v>39</v>
      </c>
      <c r="W51" s="13">
        <f t="shared" si="37"/>
        <v>88.826336747611066</v>
      </c>
      <c r="X51" t="s">
        <v>61</v>
      </c>
      <c r="Y51" s="13">
        <f t="shared" si="38"/>
        <v>2</v>
      </c>
      <c r="Z51" s="12">
        <f t="shared" si="39"/>
        <v>9.2282920934513832</v>
      </c>
      <c r="AB51" s="19">
        <f t="shared" si="40"/>
        <v>11.228292093451383</v>
      </c>
      <c r="AC51" t="s">
        <v>39</v>
      </c>
      <c r="AD51" s="14">
        <f t="shared" si="41"/>
        <v>-0.87</v>
      </c>
      <c r="AE51" t="str">
        <f t="shared" si="42"/>
        <v>SINGLE</v>
      </c>
      <c r="AF51" s="14">
        <f t="shared" si="43"/>
        <v>-0.87</v>
      </c>
      <c r="AG51" t="str">
        <f t="shared" si="44"/>
        <v>SINGLE</v>
      </c>
      <c r="AH51" s="14">
        <f t="shared" si="45"/>
        <v>-1.2170000000000001</v>
      </c>
      <c r="AI51" t="str">
        <f t="shared" si="46"/>
        <v>DOUBLE</v>
      </c>
      <c r="AJ51" s="34">
        <f t="shared" ca="1" si="47"/>
        <v>716</v>
      </c>
      <c r="AK51">
        <f t="shared" ca="1" si="48"/>
        <v>0.5</v>
      </c>
      <c r="AL51" s="18">
        <f t="shared" ca="1" si="49"/>
        <v>-0.435</v>
      </c>
      <c r="AM51" s="22" t="str">
        <f t="shared" ca="1" si="50"/>
        <v>SINGLE</v>
      </c>
      <c r="AN51">
        <f t="shared" ca="1" si="51"/>
        <v>137.25</v>
      </c>
      <c r="AO51">
        <f t="shared" ca="1" si="52"/>
        <v>116.66</v>
      </c>
      <c r="AP51" t="str">
        <f t="shared" ca="1" si="53"/>
        <v/>
      </c>
      <c r="AQ51" t="str">
        <f t="shared" ca="1" si="54"/>
        <v/>
      </c>
      <c r="AR51" t="str">
        <f t="shared" ca="1" si="55"/>
        <v/>
      </c>
      <c r="AS51" t="str">
        <f t="shared" ca="1" si="56"/>
        <v/>
      </c>
    </row>
    <row r="52" spans="1:45" x14ac:dyDescent="0.25">
      <c r="A52" s="1">
        <v>44314</v>
      </c>
      <c r="B52">
        <v>216</v>
      </c>
      <c r="C52">
        <v>8</v>
      </c>
      <c r="D52" t="s">
        <v>18</v>
      </c>
      <c r="E52">
        <v>140.19999999999999</v>
      </c>
      <c r="F52">
        <v>116.3</v>
      </c>
      <c r="G52" s="31">
        <f>HT!L8</f>
        <v>3.6442202872843668</v>
      </c>
      <c r="I52" s="13">
        <f t="shared" si="29"/>
        <v>53.867708323261724</v>
      </c>
      <c r="J52" t="s">
        <v>61</v>
      </c>
      <c r="K52" s="13">
        <f t="shared" si="30"/>
        <v>2</v>
      </c>
      <c r="L52" s="12">
        <f t="shared" si="31"/>
        <v>4.8584635404077154</v>
      </c>
      <c r="N52" s="19">
        <f t="shared" si="32"/>
        <v>6.8584635404077154</v>
      </c>
      <c r="O52" t="s">
        <v>39</v>
      </c>
      <c r="P52" s="13">
        <f t="shared" si="33"/>
        <v>66.3982680497014</v>
      </c>
      <c r="Q52" t="s">
        <v>61</v>
      </c>
      <c r="R52" s="13">
        <f t="shared" si="34"/>
        <v>2</v>
      </c>
      <c r="S52" s="12">
        <f t="shared" si="35"/>
        <v>5.2398268049701402</v>
      </c>
      <c r="U52" s="19">
        <f t="shared" si="36"/>
        <v>7.2398268049701402</v>
      </c>
      <c r="V52" t="s">
        <v>39</v>
      </c>
      <c r="W52" s="13">
        <f t="shared" si="37"/>
        <v>91.660951336978812</v>
      </c>
      <c r="X52" t="s">
        <v>61</v>
      </c>
      <c r="Y52" s="13">
        <f t="shared" si="38"/>
        <v>2</v>
      </c>
      <c r="Z52" s="12">
        <f t="shared" si="39"/>
        <v>9.5826189171223515</v>
      </c>
      <c r="AB52" s="19">
        <f t="shared" si="40"/>
        <v>11.582618917122351</v>
      </c>
      <c r="AC52" t="s">
        <v>39</v>
      </c>
      <c r="AD52" s="14">
        <f t="shared" si="41"/>
        <v>-1.2170000000000001</v>
      </c>
      <c r="AE52" t="str">
        <f t="shared" si="42"/>
        <v>DOUBLE</v>
      </c>
      <c r="AF52" s="14">
        <f t="shared" si="43"/>
        <v>-1.2170000000000001</v>
      </c>
      <c r="AG52" t="str">
        <f t="shared" si="44"/>
        <v>DOUBLE</v>
      </c>
      <c r="AH52" s="14">
        <f t="shared" si="45"/>
        <v>-1.2170000000000001</v>
      </c>
      <c r="AI52" t="str">
        <f t="shared" si="46"/>
        <v>DOUBLE</v>
      </c>
      <c r="AJ52" s="34">
        <f t="shared" ca="1" si="47"/>
        <v>53</v>
      </c>
      <c r="AK52">
        <f t="shared" ca="1" si="48"/>
        <v>1</v>
      </c>
      <c r="AL52" s="18">
        <f t="shared" ca="1" si="49"/>
        <v>-1.2170000000000001</v>
      </c>
      <c r="AM52" s="22" t="str">
        <f t="shared" ca="1" si="50"/>
        <v>DOUBLE</v>
      </c>
      <c r="AN52" t="str">
        <f t="shared" ca="1" si="51"/>
        <v/>
      </c>
      <c r="AO52" t="str">
        <f t="shared" ca="1" si="52"/>
        <v/>
      </c>
      <c r="AP52" t="str">
        <f t="shared" ca="1" si="53"/>
        <v/>
      </c>
      <c r="AQ52" t="str">
        <f t="shared" ca="1" si="54"/>
        <v/>
      </c>
      <c r="AR52">
        <f t="shared" ca="1" si="55"/>
        <v>140.19999999999999</v>
      </c>
      <c r="AS52">
        <f t="shared" ca="1" si="56"/>
        <v>116.3</v>
      </c>
    </row>
    <row r="53" spans="1:45" x14ac:dyDescent="0.25">
      <c r="A53" s="1">
        <v>44101</v>
      </c>
      <c r="B53">
        <v>263</v>
      </c>
      <c r="C53">
        <v>8</v>
      </c>
      <c r="D53" t="s">
        <v>13</v>
      </c>
      <c r="E53">
        <v>143.88</v>
      </c>
      <c r="F53">
        <v>90.12</v>
      </c>
      <c r="G53" s="31">
        <f>HT!L66</f>
        <v>3.8433730977863476</v>
      </c>
      <c r="I53" s="13">
        <f t="shared" si="29"/>
        <v>37.510915744620263</v>
      </c>
      <c r="J53" t="s">
        <v>61</v>
      </c>
      <c r="K53" s="13">
        <f t="shared" si="30"/>
        <v>2</v>
      </c>
      <c r="L53" s="12">
        <f t="shared" si="31"/>
        <v>2.8138644680775329</v>
      </c>
      <c r="N53" s="19">
        <f t="shared" si="32"/>
        <v>4.8138644680775329</v>
      </c>
      <c r="O53" t="s">
        <v>39</v>
      </c>
      <c r="P53" s="13">
        <f t="shared" si="33"/>
        <v>49.181996706111882</v>
      </c>
      <c r="Q53" t="s">
        <v>61</v>
      </c>
      <c r="R53" s="13">
        <f t="shared" si="34"/>
        <v>2</v>
      </c>
      <c r="S53" s="12">
        <f t="shared" si="35"/>
        <v>3.518199670611188</v>
      </c>
      <c r="U53" s="19">
        <f t="shared" si="36"/>
        <v>5.518199670611188</v>
      </c>
      <c r="V53" t="s">
        <v>39</v>
      </c>
      <c r="W53" s="13">
        <f t="shared" si="37"/>
        <v>94.39845761451825</v>
      </c>
      <c r="X53" t="s">
        <v>61</v>
      </c>
      <c r="Y53" s="13">
        <f t="shared" si="38"/>
        <v>2</v>
      </c>
      <c r="Z53" s="12">
        <f t="shared" si="39"/>
        <v>9.9248072018147813</v>
      </c>
      <c r="AB53" s="19">
        <f t="shared" si="40"/>
        <v>11.924807201814781</v>
      </c>
      <c r="AC53" t="s">
        <v>39</v>
      </c>
      <c r="AD53" s="14">
        <f t="shared" si="41"/>
        <v>-0.87</v>
      </c>
      <c r="AE53" t="str">
        <f t="shared" si="42"/>
        <v>SINGLE</v>
      </c>
      <c r="AF53" s="14">
        <f t="shared" si="43"/>
        <v>-0.87</v>
      </c>
      <c r="AG53" t="str">
        <f t="shared" si="44"/>
        <v>SINGLE</v>
      </c>
      <c r="AH53" s="14">
        <f t="shared" si="45"/>
        <v>-1.2170000000000001</v>
      </c>
      <c r="AI53" t="str">
        <f t="shared" si="46"/>
        <v>DOUBLE</v>
      </c>
      <c r="AJ53" s="34">
        <f t="shared" ca="1" si="47"/>
        <v>266</v>
      </c>
      <c r="AK53">
        <f t="shared" ca="1" si="48"/>
        <v>0.7</v>
      </c>
      <c r="AL53" s="18">
        <f t="shared" ca="1" si="49"/>
        <v>-0.60899999999999999</v>
      </c>
      <c r="AM53" s="22" t="str">
        <f t="shared" ca="1" si="50"/>
        <v>SINGLE</v>
      </c>
      <c r="AN53">
        <f t="shared" ca="1" si="51"/>
        <v>143.88</v>
      </c>
      <c r="AO53">
        <f t="shared" ca="1" si="52"/>
        <v>90.12</v>
      </c>
      <c r="AP53" t="str">
        <f t="shared" ca="1" si="53"/>
        <v/>
      </c>
      <c r="AQ53" t="str">
        <f t="shared" ca="1" si="54"/>
        <v/>
      </c>
      <c r="AR53" t="str">
        <f t="shared" ca="1" si="55"/>
        <v/>
      </c>
      <c r="AS53" t="str">
        <f t="shared" ca="1" si="56"/>
        <v/>
      </c>
    </row>
    <row r="54" spans="1:45" x14ac:dyDescent="0.25">
      <c r="A54" s="1">
        <v>43608</v>
      </c>
      <c r="B54">
        <v>377</v>
      </c>
      <c r="C54">
        <v>9</v>
      </c>
      <c r="D54" t="s">
        <v>22</v>
      </c>
      <c r="E54">
        <v>161.22999999999999</v>
      </c>
      <c r="F54">
        <v>42.96</v>
      </c>
      <c r="G54" s="31">
        <f>HT!L72</f>
        <v>6.7401087703854268</v>
      </c>
      <c r="I54" s="13">
        <f t="shared" si="29"/>
        <v>41.524384402420708</v>
      </c>
      <c r="J54" t="s">
        <v>61</v>
      </c>
      <c r="K54" s="13">
        <f t="shared" si="30"/>
        <v>2</v>
      </c>
      <c r="L54" s="12">
        <f t="shared" si="31"/>
        <v>3.3155480503025885</v>
      </c>
      <c r="N54" s="19">
        <f t="shared" si="32"/>
        <v>5.3155480503025885</v>
      </c>
      <c r="O54" t="s">
        <v>39</v>
      </c>
      <c r="P54" s="13">
        <f t="shared" si="33"/>
        <v>58.7552082797772</v>
      </c>
      <c r="Q54" t="s">
        <v>61</v>
      </c>
      <c r="R54" s="13">
        <f t="shared" si="34"/>
        <v>2</v>
      </c>
      <c r="S54" s="12">
        <f t="shared" si="35"/>
        <v>4.4755208279777197</v>
      </c>
      <c r="U54" s="19">
        <f t="shared" si="36"/>
        <v>6.4755208279777197</v>
      </c>
      <c r="V54" t="s">
        <v>39</v>
      </c>
      <c r="W54" s="13">
        <f t="shared" si="37"/>
        <v>125.0026979708838</v>
      </c>
      <c r="X54" t="s">
        <v>61</v>
      </c>
      <c r="Y54" s="13">
        <f t="shared" si="38"/>
        <v>2</v>
      </c>
      <c r="Z54" s="12">
        <f t="shared" si="39"/>
        <v>13.750337246360475</v>
      </c>
      <c r="AB54" s="19">
        <f t="shared" si="40"/>
        <v>15.750337246360475</v>
      </c>
      <c r="AC54" t="s">
        <v>39</v>
      </c>
      <c r="AD54" s="14">
        <f t="shared" si="41"/>
        <v>0.3</v>
      </c>
      <c r="AE54" t="str">
        <f t="shared" si="42"/>
        <v>OUT</v>
      </c>
      <c r="AF54" s="14">
        <f t="shared" si="43"/>
        <v>0.3</v>
      </c>
      <c r="AG54" t="str">
        <f t="shared" si="44"/>
        <v>OUT</v>
      </c>
      <c r="AH54" s="14">
        <f t="shared" si="45"/>
        <v>-1.2170000000000001</v>
      </c>
      <c r="AI54" t="str">
        <f t="shared" si="46"/>
        <v>DOUBLE</v>
      </c>
      <c r="AJ54" s="34">
        <f t="shared" ca="1" si="47"/>
        <v>759</v>
      </c>
      <c r="AK54">
        <f t="shared" ca="1" si="48"/>
        <v>0.3</v>
      </c>
      <c r="AL54" s="18">
        <f t="shared" ca="1" si="49"/>
        <v>0.09</v>
      </c>
      <c r="AM54" s="22" t="str">
        <f t="shared" ca="1" si="50"/>
        <v>OUT</v>
      </c>
      <c r="AN54" t="str">
        <f t="shared" ca="1" si="51"/>
        <v/>
      </c>
      <c r="AO54" t="str">
        <f t="shared" ca="1" si="52"/>
        <v/>
      </c>
      <c r="AP54">
        <f t="shared" ca="1" si="53"/>
        <v>161.22999999999999</v>
      </c>
      <c r="AQ54">
        <f t="shared" ca="1" si="54"/>
        <v>42.96</v>
      </c>
      <c r="AR54" t="str">
        <f t="shared" ca="1" si="55"/>
        <v/>
      </c>
      <c r="AS54" t="str">
        <f t="shared" ca="1" si="56"/>
        <v/>
      </c>
    </row>
    <row r="55" spans="1:45" x14ac:dyDescent="0.25">
      <c r="A55" s="1">
        <v>43714</v>
      </c>
      <c r="B55">
        <v>234</v>
      </c>
      <c r="C55">
        <v>9</v>
      </c>
      <c r="D55" t="s">
        <v>13</v>
      </c>
      <c r="E55">
        <v>166.27</v>
      </c>
      <c r="F55">
        <v>109.69</v>
      </c>
      <c r="G55" s="31">
        <f>HT!L61</f>
        <v>5.3632861764610444</v>
      </c>
      <c r="I55" s="13">
        <f t="shared" si="29"/>
        <v>32.71099203631708</v>
      </c>
      <c r="J55" t="s">
        <v>61</v>
      </c>
      <c r="K55" s="13">
        <f t="shared" si="30"/>
        <v>2</v>
      </c>
      <c r="L55" s="12">
        <f t="shared" si="31"/>
        <v>2.213874004539635</v>
      </c>
      <c r="N55" s="19">
        <f t="shared" si="32"/>
        <v>4.213874004539635</v>
      </c>
      <c r="O55" t="s">
        <v>39</v>
      </c>
      <c r="P55" s="13">
        <f t="shared" si="33"/>
        <v>78.886684554492462</v>
      </c>
      <c r="Q55" t="s">
        <v>61</v>
      </c>
      <c r="R55" s="13">
        <f t="shared" si="34"/>
        <v>2</v>
      </c>
      <c r="S55" s="12">
        <f t="shared" si="35"/>
        <v>6.488668455449246</v>
      </c>
      <c r="U55" s="19">
        <f t="shared" si="36"/>
        <v>8.4886684554492469</v>
      </c>
      <c r="V55" t="s">
        <v>39</v>
      </c>
      <c r="W55" s="13">
        <f t="shared" si="37"/>
        <v>116.6730860138704</v>
      </c>
      <c r="X55" t="s">
        <v>61</v>
      </c>
      <c r="Y55" s="13">
        <f t="shared" si="38"/>
        <v>2</v>
      </c>
      <c r="Z55" s="12">
        <f t="shared" si="39"/>
        <v>12.7091357517338</v>
      </c>
      <c r="AB55" s="19">
        <f t="shared" si="40"/>
        <v>14.7091357517338</v>
      </c>
      <c r="AC55" t="s">
        <v>39</v>
      </c>
      <c r="AD55" s="14">
        <f t="shared" si="41"/>
        <v>0.3</v>
      </c>
      <c r="AE55" t="str">
        <f t="shared" si="42"/>
        <v>OUT</v>
      </c>
      <c r="AF55" s="14">
        <f t="shared" si="43"/>
        <v>-1.2170000000000001</v>
      </c>
      <c r="AG55" t="str">
        <f t="shared" si="44"/>
        <v>DOUBLE</v>
      </c>
      <c r="AH55" s="14">
        <f t="shared" si="45"/>
        <v>-1.2170000000000001</v>
      </c>
      <c r="AI55" t="str">
        <f t="shared" si="46"/>
        <v>DOUBLE</v>
      </c>
      <c r="AJ55" s="34">
        <f t="shared" ca="1" si="47"/>
        <v>653</v>
      </c>
      <c r="AK55">
        <f t="shared" ca="1" si="48"/>
        <v>0.5</v>
      </c>
      <c r="AL55" s="18">
        <f t="shared" ca="1" si="49"/>
        <v>0.15</v>
      </c>
      <c r="AM55" s="22" t="str">
        <f t="shared" ca="1" si="50"/>
        <v>OUT</v>
      </c>
      <c r="AN55" t="str">
        <f t="shared" ca="1" si="51"/>
        <v/>
      </c>
      <c r="AO55" t="str">
        <f t="shared" ca="1" si="52"/>
        <v/>
      </c>
      <c r="AP55">
        <f t="shared" ca="1" si="53"/>
        <v>166.27</v>
      </c>
      <c r="AQ55">
        <f t="shared" ca="1" si="54"/>
        <v>109.69</v>
      </c>
      <c r="AR55" t="str">
        <f t="shared" ca="1" si="55"/>
        <v/>
      </c>
      <c r="AS55" t="str">
        <f t="shared" ca="1" si="56"/>
        <v/>
      </c>
    </row>
    <row r="56" spans="1:45" x14ac:dyDescent="0.25">
      <c r="A56" s="1">
        <v>44057</v>
      </c>
      <c r="B56">
        <v>250</v>
      </c>
      <c r="C56">
        <v>9</v>
      </c>
      <c r="D56" t="s">
        <v>13</v>
      </c>
      <c r="E56">
        <v>167.84</v>
      </c>
      <c r="F56">
        <v>103.11</v>
      </c>
      <c r="G56" s="31">
        <f>HT!L11</f>
        <v>4.3230083460315489</v>
      </c>
      <c r="I56" s="13">
        <f t="shared" si="29"/>
        <v>26.11393689201228</v>
      </c>
      <c r="J56" t="s">
        <v>61</v>
      </c>
      <c r="K56" s="13">
        <f t="shared" si="30"/>
        <v>2</v>
      </c>
      <c r="L56" s="12">
        <f t="shared" si="31"/>
        <v>1.389242111501535</v>
      </c>
      <c r="N56" s="19">
        <f t="shared" si="32"/>
        <v>3.389242111501535</v>
      </c>
      <c r="O56" t="s">
        <v>39</v>
      </c>
      <c r="P56" s="13">
        <f t="shared" si="33"/>
        <v>76.205890192294191</v>
      </c>
      <c r="Q56" t="s">
        <v>61</v>
      </c>
      <c r="R56" s="13">
        <f t="shared" si="34"/>
        <v>2</v>
      </c>
      <c r="S56" s="12">
        <f t="shared" si="35"/>
        <v>6.2205890192294193</v>
      </c>
      <c r="U56" s="19">
        <f t="shared" si="36"/>
        <v>8.2205890192294184</v>
      </c>
      <c r="V56" t="s">
        <v>39</v>
      </c>
      <c r="W56" s="13">
        <f t="shared" si="37"/>
        <v>117.88103197715907</v>
      </c>
      <c r="X56" t="s">
        <v>61</v>
      </c>
      <c r="Y56" s="13">
        <f t="shared" si="38"/>
        <v>2</v>
      </c>
      <c r="Z56" s="12">
        <f t="shared" si="39"/>
        <v>12.860128997144884</v>
      </c>
      <c r="AB56" s="19">
        <f t="shared" si="40"/>
        <v>14.860128997144884</v>
      </c>
      <c r="AC56" t="s">
        <v>39</v>
      </c>
      <c r="AD56" s="14">
        <f t="shared" si="41"/>
        <v>0.3</v>
      </c>
      <c r="AE56" t="str">
        <f t="shared" si="42"/>
        <v>OUT</v>
      </c>
      <c r="AF56" s="14">
        <f t="shared" si="43"/>
        <v>-1.2170000000000001</v>
      </c>
      <c r="AG56" t="str">
        <f t="shared" si="44"/>
        <v>DOUBLE</v>
      </c>
      <c r="AH56" s="14">
        <f t="shared" si="45"/>
        <v>-1.2170000000000001</v>
      </c>
      <c r="AI56" t="str">
        <f t="shared" si="46"/>
        <v>DOUBLE</v>
      </c>
      <c r="AJ56" s="34">
        <f t="shared" ca="1" si="47"/>
        <v>310</v>
      </c>
      <c r="AK56">
        <f t="shared" ca="1" si="48"/>
        <v>0.7</v>
      </c>
      <c r="AL56" s="18">
        <f t="shared" ca="1" si="49"/>
        <v>0.21</v>
      </c>
      <c r="AM56" s="22" t="str">
        <f t="shared" ca="1" si="50"/>
        <v>OUT</v>
      </c>
      <c r="AN56" t="str">
        <f t="shared" ca="1" si="51"/>
        <v/>
      </c>
      <c r="AO56" t="str">
        <f t="shared" ca="1" si="52"/>
        <v/>
      </c>
      <c r="AP56">
        <f t="shared" ca="1" si="53"/>
        <v>167.84</v>
      </c>
      <c r="AQ56">
        <f t="shared" ca="1" si="54"/>
        <v>103.11</v>
      </c>
      <c r="AR56" t="str">
        <f t="shared" ca="1" si="55"/>
        <v/>
      </c>
      <c r="AS56" t="str">
        <f t="shared" ca="1" si="56"/>
        <v/>
      </c>
    </row>
    <row r="57" spans="1:45" x14ac:dyDescent="0.25">
      <c r="A57" s="1">
        <v>44350</v>
      </c>
      <c r="B57">
        <v>288</v>
      </c>
      <c r="C57">
        <v>9</v>
      </c>
      <c r="D57" t="s">
        <v>13</v>
      </c>
      <c r="E57">
        <v>168.37</v>
      </c>
      <c r="F57">
        <v>91.38</v>
      </c>
      <c r="G57" s="31">
        <f>HT!L75</f>
        <v>6.9710505222554158</v>
      </c>
      <c r="I57" s="13">
        <f t="shared" si="29"/>
        <v>16.271487332140225</v>
      </c>
      <c r="J57" t="s">
        <v>61</v>
      </c>
      <c r="K57" s="13">
        <f t="shared" si="30"/>
        <v>2</v>
      </c>
      <c r="L57" s="12">
        <f t="shared" si="31"/>
        <v>0.15893591651752814</v>
      </c>
      <c r="N57" s="19">
        <f t="shared" si="32"/>
        <v>2.1589359165175281</v>
      </c>
      <c r="O57" t="s">
        <v>39</v>
      </c>
      <c r="P57" s="13">
        <f t="shared" si="33"/>
        <v>70.713939927004503</v>
      </c>
      <c r="Q57" t="s">
        <v>61</v>
      </c>
      <c r="R57" s="13">
        <f t="shared" si="34"/>
        <v>2</v>
      </c>
      <c r="S57" s="12">
        <f t="shared" si="35"/>
        <v>5.67139399270045</v>
      </c>
      <c r="U57" s="19">
        <f t="shared" si="36"/>
        <v>7.67139399270045</v>
      </c>
      <c r="V57" t="s">
        <v>39</v>
      </c>
      <c r="W57" s="13">
        <f t="shared" si="37"/>
        <v>118.68344998355921</v>
      </c>
      <c r="X57" t="s">
        <v>61</v>
      </c>
      <c r="Y57" s="13">
        <f t="shared" si="38"/>
        <v>2</v>
      </c>
      <c r="Z57" s="12">
        <f t="shared" si="39"/>
        <v>12.960431247944902</v>
      </c>
      <c r="AB57" s="19">
        <f t="shared" si="40"/>
        <v>14.960431247944902</v>
      </c>
      <c r="AC57" t="s">
        <v>39</v>
      </c>
      <c r="AD57" s="14">
        <f t="shared" si="41"/>
        <v>0.3</v>
      </c>
      <c r="AE57" t="str">
        <f t="shared" si="42"/>
        <v>OUT</v>
      </c>
      <c r="AF57" s="14">
        <f t="shared" si="43"/>
        <v>-0.87</v>
      </c>
      <c r="AG57" t="str">
        <f t="shared" si="44"/>
        <v>SINGLE</v>
      </c>
      <c r="AH57" s="14">
        <f t="shared" si="45"/>
        <v>-1.2170000000000001</v>
      </c>
      <c r="AI57" t="str">
        <f t="shared" si="46"/>
        <v>DOUBLE</v>
      </c>
      <c r="AJ57" s="34">
        <f t="shared" ca="1" si="47"/>
        <v>17</v>
      </c>
      <c r="AK57">
        <f t="shared" ca="1" si="48"/>
        <v>1</v>
      </c>
      <c r="AL57" s="18">
        <f t="shared" ca="1" si="49"/>
        <v>0.3</v>
      </c>
      <c r="AM57" s="22" t="str">
        <f t="shared" ca="1" si="50"/>
        <v>OUT</v>
      </c>
      <c r="AN57" t="str">
        <f t="shared" ca="1" si="51"/>
        <v/>
      </c>
      <c r="AO57" t="str">
        <f t="shared" ca="1" si="52"/>
        <v/>
      </c>
      <c r="AP57">
        <f t="shared" ca="1" si="53"/>
        <v>168.37</v>
      </c>
      <c r="AQ57">
        <f t="shared" ca="1" si="54"/>
        <v>91.38</v>
      </c>
      <c r="AR57" t="str">
        <f t="shared" ca="1" si="55"/>
        <v/>
      </c>
      <c r="AS57" t="str">
        <f t="shared" ca="1" si="56"/>
        <v/>
      </c>
    </row>
    <row r="58" spans="1:45" x14ac:dyDescent="0.25">
      <c r="A58" s="1">
        <v>44320</v>
      </c>
      <c r="B58">
        <v>304</v>
      </c>
      <c r="C58">
        <v>8</v>
      </c>
      <c r="D58" t="s">
        <v>18</v>
      </c>
      <c r="E58">
        <v>169.04</v>
      </c>
      <c r="F58">
        <v>84.93</v>
      </c>
      <c r="G58" s="31">
        <f>HT!L40</f>
        <v>3.2410578577627609</v>
      </c>
      <c r="I58" s="13">
        <f t="shared" si="29"/>
        <v>12.017757694345491</v>
      </c>
      <c r="J58" t="s">
        <v>61</v>
      </c>
      <c r="K58" s="13">
        <f t="shared" si="30"/>
        <v>2</v>
      </c>
      <c r="L58" s="12">
        <f t="shared" si="31"/>
        <v>0</v>
      </c>
      <c r="N58" s="19">
        <f t="shared" si="32"/>
        <v>2</v>
      </c>
      <c r="O58" t="s">
        <v>39</v>
      </c>
      <c r="P58" s="13">
        <f t="shared" si="33"/>
        <v>68.721368583578126</v>
      </c>
      <c r="Q58" t="s">
        <v>61</v>
      </c>
      <c r="R58" s="13">
        <f t="shared" si="34"/>
        <v>2</v>
      </c>
      <c r="S58" s="12">
        <f t="shared" si="35"/>
        <v>5.4721368583578123</v>
      </c>
      <c r="U58" s="19">
        <f t="shared" si="36"/>
        <v>7.4721368583578123</v>
      </c>
      <c r="V58" t="s">
        <v>39</v>
      </c>
      <c r="W58" s="13">
        <f t="shared" si="37"/>
        <v>119.99011000911699</v>
      </c>
      <c r="X58" t="s">
        <v>61</v>
      </c>
      <c r="Y58" s="13">
        <f t="shared" si="38"/>
        <v>2</v>
      </c>
      <c r="Z58" s="12">
        <f t="shared" si="39"/>
        <v>13.123763751139624</v>
      </c>
      <c r="AB58" s="19">
        <f t="shared" si="40"/>
        <v>15.123763751139624</v>
      </c>
      <c r="AC58" t="s">
        <v>39</v>
      </c>
      <c r="AD58" s="14">
        <f t="shared" si="41"/>
        <v>0.3</v>
      </c>
      <c r="AE58" t="str">
        <f t="shared" si="42"/>
        <v>OUT</v>
      </c>
      <c r="AF58" s="14">
        <f t="shared" si="43"/>
        <v>-1.2170000000000001</v>
      </c>
      <c r="AG58" t="str">
        <f t="shared" si="44"/>
        <v>DOUBLE</v>
      </c>
      <c r="AH58" s="14">
        <f t="shared" si="45"/>
        <v>-1.2170000000000001</v>
      </c>
      <c r="AI58" t="str">
        <f t="shared" si="46"/>
        <v>DOUBLE</v>
      </c>
      <c r="AJ58" s="34">
        <f t="shared" ca="1" si="47"/>
        <v>47</v>
      </c>
      <c r="AK58">
        <f t="shared" ca="1" si="48"/>
        <v>1</v>
      </c>
      <c r="AL58" s="18">
        <f t="shared" ca="1" si="49"/>
        <v>0.3</v>
      </c>
      <c r="AM58" s="22" t="str">
        <f t="shared" ca="1" si="50"/>
        <v>OUT</v>
      </c>
      <c r="AN58" t="str">
        <f t="shared" ca="1" si="51"/>
        <v/>
      </c>
      <c r="AO58" t="str">
        <f t="shared" ca="1" si="52"/>
        <v/>
      </c>
      <c r="AP58">
        <f t="shared" ca="1" si="53"/>
        <v>169.04</v>
      </c>
      <c r="AQ58">
        <f t="shared" ca="1" si="54"/>
        <v>84.93</v>
      </c>
      <c r="AR58" t="str">
        <f t="shared" ca="1" si="55"/>
        <v/>
      </c>
      <c r="AS58" t="str">
        <f t="shared" ca="1" si="56"/>
        <v/>
      </c>
    </row>
    <row r="59" spans="1:45" x14ac:dyDescent="0.25">
      <c r="A59" s="1">
        <v>44098</v>
      </c>
      <c r="B59">
        <v>327</v>
      </c>
      <c r="C59">
        <v>9</v>
      </c>
      <c r="D59" t="s">
        <v>13</v>
      </c>
      <c r="E59">
        <v>172.1</v>
      </c>
      <c r="F59">
        <v>68.540000000000006</v>
      </c>
      <c r="G59" s="31">
        <f>HT!L43</f>
        <v>6.3119157640426584</v>
      </c>
      <c r="I59" s="13">
        <f t="shared" si="29"/>
        <v>13.919109166897139</v>
      </c>
      <c r="J59" t="s">
        <v>61</v>
      </c>
      <c r="K59" s="13">
        <f t="shared" si="30"/>
        <v>2</v>
      </c>
      <c r="L59" s="12">
        <f t="shared" si="31"/>
        <v>0</v>
      </c>
      <c r="N59" s="19">
        <f t="shared" si="32"/>
        <v>2</v>
      </c>
      <c r="O59" t="s">
        <v>39</v>
      </c>
      <c r="P59" s="13">
        <f t="shared" si="33"/>
        <v>67.641271425070059</v>
      </c>
      <c r="Q59" t="s">
        <v>61</v>
      </c>
      <c r="R59" s="13">
        <f t="shared" si="34"/>
        <v>2</v>
      </c>
      <c r="S59" s="12">
        <f t="shared" si="35"/>
        <v>5.3641271425070061</v>
      </c>
      <c r="U59" s="19">
        <f t="shared" si="36"/>
        <v>7.3641271425070061</v>
      </c>
      <c r="V59" t="s">
        <v>39</v>
      </c>
      <c r="W59" s="13">
        <f t="shared" si="37"/>
        <v>126.08783287851369</v>
      </c>
      <c r="X59" t="s">
        <v>61</v>
      </c>
      <c r="Y59" s="13">
        <f t="shared" si="38"/>
        <v>2</v>
      </c>
      <c r="Z59" s="12">
        <f t="shared" si="39"/>
        <v>13.885979109814212</v>
      </c>
      <c r="AB59" s="19">
        <f t="shared" si="40"/>
        <v>15.885979109814212</v>
      </c>
      <c r="AC59" t="s">
        <v>39</v>
      </c>
      <c r="AD59" s="14">
        <f t="shared" si="41"/>
        <v>0.3</v>
      </c>
      <c r="AE59" t="str">
        <f t="shared" si="42"/>
        <v>OUT</v>
      </c>
      <c r="AF59" s="14">
        <f t="shared" si="43"/>
        <v>-0.87</v>
      </c>
      <c r="AG59" t="str">
        <f t="shared" si="44"/>
        <v>SINGLE</v>
      </c>
      <c r="AH59" s="14">
        <f t="shared" si="45"/>
        <v>-1.2170000000000001</v>
      </c>
      <c r="AI59" t="str">
        <f t="shared" si="46"/>
        <v>DOUBLE</v>
      </c>
      <c r="AJ59" s="34">
        <f t="shared" ca="1" si="47"/>
        <v>269</v>
      </c>
      <c r="AK59">
        <f t="shared" ca="1" si="48"/>
        <v>0.7</v>
      </c>
      <c r="AL59" s="18">
        <f t="shared" ca="1" si="49"/>
        <v>0.21</v>
      </c>
      <c r="AM59" s="22" t="str">
        <f t="shared" ca="1" si="50"/>
        <v>OUT</v>
      </c>
      <c r="AN59" t="str">
        <f t="shared" ca="1" si="51"/>
        <v/>
      </c>
      <c r="AO59" t="str">
        <f t="shared" ca="1" si="52"/>
        <v/>
      </c>
      <c r="AP59">
        <f t="shared" ca="1" si="53"/>
        <v>172.1</v>
      </c>
      <c r="AQ59">
        <f t="shared" ca="1" si="54"/>
        <v>68.540000000000006</v>
      </c>
      <c r="AR59" t="str">
        <f t="shared" ca="1" si="55"/>
        <v/>
      </c>
      <c r="AS59" t="str">
        <f t="shared" ca="1" si="56"/>
        <v/>
      </c>
    </row>
    <row r="60" spans="1:45" x14ac:dyDescent="0.25">
      <c r="A60" s="1">
        <v>43608</v>
      </c>
      <c r="B60">
        <v>256</v>
      </c>
      <c r="C60">
        <v>9</v>
      </c>
      <c r="D60" t="s">
        <v>13</v>
      </c>
      <c r="E60">
        <v>173.57</v>
      </c>
      <c r="F60">
        <v>102.87</v>
      </c>
      <c r="G60" s="31">
        <f>HT!L73</f>
        <v>5.0998590406058835</v>
      </c>
      <c r="I60" s="13">
        <f t="shared" si="29"/>
        <v>23.756721154233389</v>
      </c>
      <c r="J60" t="s">
        <v>61</v>
      </c>
      <c r="K60" s="13">
        <f t="shared" si="30"/>
        <v>2</v>
      </c>
      <c r="L60" s="12">
        <f t="shared" si="31"/>
        <v>1.0945901442791737</v>
      </c>
      <c r="N60" s="19">
        <f t="shared" si="32"/>
        <v>3.0945901442791737</v>
      </c>
      <c r="O60" t="s">
        <v>39</v>
      </c>
      <c r="P60" s="13">
        <f t="shared" si="33"/>
        <v>80.868299104160712</v>
      </c>
      <c r="Q60" t="s">
        <v>61</v>
      </c>
      <c r="R60" s="13">
        <f t="shared" si="34"/>
        <v>2</v>
      </c>
      <c r="S60" s="12">
        <f t="shared" si="35"/>
        <v>6.6868299104160709</v>
      </c>
      <c r="U60" s="19">
        <f t="shared" si="36"/>
        <v>8.6868299104160709</v>
      </c>
      <c r="V60" t="s">
        <v>39</v>
      </c>
      <c r="W60" s="13">
        <f t="shared" si="37"/>
        <v>123.60332438894999</v>
      </c>
      <c r="X60" t="s">
        <v>61</v>
      </c>
      <c r="Y60" s="13">
        <f t="shared" si="38"/>
        <v>2</v>
      </c>
      <c r="Z60" s="12">
        <f t="shared" si="39"/>
        <v>13.575415548618748</v>
      </c>
      <c r="AB60" s="19">
        <f t="shared" si="40"/>
        <v>15.575415548618748</v>
      </c>
      <c r="AC60" t="s">
        <v>39</v>
      </c>
      <c r="AD60" s="14">
        <f t="shared" si="41"/>
        <v>0.3</v>
      </c>
      <c r="AE60" t="str">
        <f t="shared" si="42"/>
        <v>OUT</v>
      </c>
      <c r="AF60" s="14">
        <f t="shared" si="43"/>
        <v>-1.2170000000000001</v>
      </c>
      <c r="AG60" t="str">
        <f t="shared" si="44"/>
        <v>DOUBLE</v>
      </c>
      <c r="AH60" s="14">
        <f t="shared" si="45"/>
        <v>-1.2170000000000001</v>
      </c>
      <c r="AI60" t="str">
        <f t="shared" si="46"/>
        <v>DOUBLE</v>
      </c>
      <c r="AJ60" s="34">
        <f t="shared" ca="1" si="47"/>
        <v>759</v>
      </c>
      <c r="AK60">
        <f t="shared" ca="1" si="48"/>
        <v>0.3</v>
      </c>
      <c r="AL60" s="18">
        <f t="shared" ca="1" si="49"/>
        <v>0.09</v>
      </c>
      <c r="AM60" s="22" t="str">
        <f t="shared" ca="1" si="50"/>
        <v>OUT</v>
      </c>
      <c r="AN60" t="str">
        <f t="shared" ca="1" si="51"/>
        <v/>
      </c>
      <c r="AO60" t="str">
        <f t="shared" ca="1" si="52"/>
        <v/>
      </c>
      <c r="AP60">
        <f t="shared" ca="1" si="53"/>
        <v>173.57</v>
      </c>
      <c r="AQ60">
        <f t="shared" ca="1" si="54"/>
        <v>102.87</v>
      </c>
      <c r="AR60" t="str">
        <f t="shared" ca="1" si="55"/>
        <v/>
      </c>
      <c r="AS60" t="str">
        <f t="shared" ca="1" si="56"/>
        <v/>
      </c>
    </row>
    <row r="61" spans="1:45" x14ac:dyDescent="0.25">
      <c r="A61" s="1">
        <v>44042</v>
      </c>
      <c r="B61">
        <v>238</v>
      </c>
      <c r="C61">
        <v>9</v>
      </c>
      <c r="D61" t="s">
        <v>13</v>
      </c>
      <c r="E61">
        <v>173.61</v>
      </c>
      <c r="F61">
        <v>111.22</v>
      </c>
      <c r="G61" s="31">
        <f>HT!L14</f>
        <v>4.8048420486182035</v>
      </c>
      <c r="I61" s="13">
        <f t="shared" si="29"/>
        <v>31.867232386889196</v>
      </c>
      <c r="J61" t="s">
        <v>61</v>
      </c>
      <c r="K61" s="13">
        <f t="shared" si="30"/>
        <v>2</v>
      </c>
      <c r="L61" s="12">
        <f t="shared" si="31"/>
        <v>2.1084040483611495</v>
      </c>
      <c r="N61" s="19">
        <f t="shared" si="32"/>
        <v>4.1084040483611499</v>
      </c>
      <c r="O61" t="s">
        <v>39</v>
      </c>
      <c r="P61" s="13">
        <f t="shared" si="33"/>
        <v>85.620210814970562</v>
      </c>
      <c r="Q61" t="s">
        <v>61</v>
      </c>
      <c r="R61" s="13">
        <f t="shared" si="34"/>
        <v>2</v>
      </c>
      <c r="S61" s="12">
        <f t="shared" si="35"/>
        <v>7.1620210814970564</v>
      </c>
      <c r="U61" s="19">
        <f t="shared" si="36"/>
        <v>9.1620210814970555</v>
      </c>
      <c r="V61" t="s">
        <v>39</v>
      </c>
      <c r="W61" s="13">
        <f t="shared" si="37"/>
        <v>124.11817151408573</v>
      </c>
      <c r="X61" t="s">
        <v>61</v>
      </c>
      <c r="Y61" s="13">
        <f t="shared" si="38"/>
        <v>2</v>
      </c>
      <c r="Z61" s="12">
        <f t="shared" si="39"/>
        <v>13.639771439260716</v>
      </c>
      <c r="AB61" s="19">
        <f t="shared" si="40"/>
        <v>15.639771439260716</v>
      </c>
      <c r="AC61" t="s">
        <v>39</v>
      </c>
      <c r="AD61" s="14">
        <f t="shared" si="41"/>
        <v>0.3</v>
      </c>
      <c r="AE61" t="str">
        <f t="shared" si="42"/>
        <v>OUT</v>
      </c>
      <c r="AF61" s="14">
        <f t="shared" si="43"/>
        <v>-1.2170000000000001</v>
      </c>
      <c r="AG61" t="str">
        <f t="shared" si="44"/>
        <v>DOUBLE</v>
      </c>
      <c r="AH61" s="14">
        <f t="shared" si="45"/>
        <v>-1.2170000000000001</v>
      </c>
      <c r="AI61" t="str">
        <f t="shared" si="46"/>
        <v>DOUBLE</v>
      </c>
      <c r="AJ61" s="34">
        <f t="shared" ca="1" si="47"/>
        <v>325</v>
      </c>
      <c r="AK61">
        <f t="shared" ca="1" si="48"/>
        <v>0.7</v>
      </c>
      <c r="AL61" s="18">
        <f t="shared" ca="1" si="49"/>
        <v>0.21</v>
      </c>
      <c r="AM61" s="22" t="str">
        <f t="shared" ca="1" si="50"/>
        <v>OUT</v>
      </c>
      <c r="AN61" t="str">
        <f t="shared" ca="1" si="51"/>
        <v/>
      </c>
      <c r="AO61" t="str">
        <f t="shared" ca="1" si="52"/>
        <v/>
      </c>
      <c r="AP61">
        <f t="shared" ca="1" si="53"/>
        <v>173.61</v>
      </c>
      <c r="AQ61">
        <f t="shared" ca="1" si="54"/>
        <v>111.22</v>
      </c>
      <c r="AR61" t="str">
        <f t="shared" ca="1" si="55"/>
        <v/>
      </c>
      <c r="AS61" t="str">
        <f t="shared" ca="1" si="56"/>
        <v/>
      </c>
    </row>
    <row r="62" spans="1:45" x14ac:dyDescent="0.25">
      <c r="A62" s="1">
        <v>44079</v>
      </c>
      <c r="B62">
        <v>277</v>
      </c>
      <c r="C62">
        <v>9</v>
      </c>
      <c r="D62" t="s">
        <v>18</v>
      </c>
      <c r="E62">
        <v>173.9</v>
      </c>
      <c r="F62">
        <v>80.78</v>
      </c>
      <c r="G62" s="31">
        <f>HT!L78</f>
        <v>2.8110072501863685</v>
      </c>
      <c r="I62" s="13">
        <f t="shared" si="29"/>
        <v>6.1496666576327481</v>
      </c>
      <c r="J62" t="s">
        <v>61</v>
      </c>
      <c r="K62" s="13">
        <f t="shared" si="30"/>
        <v>1.2299333315265497</v>
      </c>
      <c r="L62" s="12">
        <f t="shared" si="31"/>
        <v>0</v>
      </c>
      <c r="N62" s="19">
        <f t="shared" si="32"/>
        <v>1.2299333315265497</v>
      </c>
      <c r="O62" t="s">
        <v>39</v>
      </c>
      <c r="P62" s="13">
        <f t="shared" si="33"/>
        <v>71.965397240618358</v>
      </c>
      <c r="Q62" t="s">
        <v>61</v>
      </c>
      <c r="R62" s="13">
        <f t="shared" si="34"/>
        <v>2</v>
      </c>
      <c r="S62" s="12">
        <f t="shared" si="35"/>
        <v>5.7965397240618355</v>
      </c>
      <c r="U62" s="19">
        <f t="shared" si="36"/>
        <v>7.7965397240618355</v>
      </c>
      <c r="V62" t="s">
        <v>39</v>
      </c>
      <c r="W62" s="13">
        <f t="shared" si="37"/>
        <v>125.38189023938027</v>
      </c>
      <c r="X62" t="s">
        <v>61</v>
      </c>
      <c r="Y62" s="13">
        <f t="shared" si="38"/>
        <v>2</v>
      </c>
      <c r="Z62" s="12">
        <f t="shared" si="39"/>
        <v>13.797736279922534</v>
      </c>
      <c r="AB62" s="19">
        <f t="shared" si="40"/>
        <v>15.797736279922534</v>
      </c>
      <c r="AC62" t="s">
        <v>39</v>
      </c>
      <c r="AD62" s="14">
        <f t="shared" si="41"/>
        <v>0.3</v>
      </c>
      <c r="AE62" t="str">
        <f t="shared" si="42"/>
        <v>OUT</v>
      </c>
      <c r="AF62" s="14">
        <f t="shared" si="43"/>
        <v>-1.2170000000000001</v>
      </c>
      <c r="AG62" t="str">
        <f t="shared" si="44"/>
        <v>DOUBLE</v>
      </c>
      <c r="AH62" s="14">
        <f t="shared" si="45"/>
        <v>-1.2170000000000001</v>
      </c>
      <c r="AI62" t="str">
        <f t="shared" si="46"/>
        <v>DOUBLE</v>
      </c>
      <c r="AJ62" s="34">
        <f t="shared" ca="1" si="47"/>
        <v>288</v>
      </c>
      <c r="AK62">
        <f t="shared" ca="1" si="48"/>
        <v>0.7</v>
      </c>
      <c r="AL62" s="18">
        <f t="shared" ca="1" si="49"/>
        <v>0.21</v>
      </c>
      <c r="AM62" s="22" t="str">
        <f t="shared" ca="1" si="50"/>
        <v>OUT</v>
      </c>
      <c r="AN62" t="str">
        <f t="shared" ca="1" si="51"/>
        <v/>
      </c>
      <c r="AO62" t="str">
        <f t="shared" ca="1" si="52"/>
        <v/>
      </c>
      <c r="AP62">
        <f t="shared" ca="1" si="53"/>
        <v>173.9</v>
      </c>
      <c r="AQ62">
        <f t="shared" ca="1" si="54"/>
        <v>80.78</v>
      </c>
      <c r="AR62" t="str">
        <f t="shared" ca="1" si="55"/>
        <v/>
      </c>
      <c r="AS62" t="str">
        <f t="shared" ca="1" si="56"/>
        <v/>
      </c>
    </row>
    <row r="63" spans="1:45" x14ac:dyDescent="0.25">
      <c r="A63" s="1">
        <v>43637</v>
      </c>
      <c r="B63">
        <v>297</v>
      </c>
      <c r="C63">
        <v>9</v>
      </c>
      <c r="D63" t="s">
        <v>13</v>
      </c>
      <c r="E63">
        <v>177.02</v>
      </c>
      <c r="F63">
        <v>84.26</v>
      </c>
      <c r="G63" s="31">
        <f>HT!L17</f>
        <v>3.3003225997117913</v>
      </c>
      <c r="I63" s="13">
        <f t="shared" si="29"/>
        <v>5.1988460258022631</v>
      </c>
      <c r="J63" t="s">
        <v>61</v>
      </c>
      <c r="K63" s="13">
        <f t="shared" si="30"/>
        <v>1.0397692051604526</v>
      </c>
      <c r="L63" s="12">
        <f t="shared" si="31"/>
        <v>0</v>
      </c>
      <c r="N63" s="19">
        <f t="shared" si="32"/>
        <v>1.0397692051604526</v>
      </c>
      <c r="O63" t="s">
        <v>39</v>
      </c>
      <c r="P63" s="13">
        <f t="shared" si="33"/>
        <v>75.996236748933839</v>
      </c>
      <c r="Q63" t="s">
        <v>61</v>
      </c>
      <c r="R63" s="13">
        <f t="shared" si="34"/>
        <v>2</v>
      </c>
      <c r="S63" s="12">
        <f t="shared" si="35"/>
        <v>6.1996236748933837</v>
      </c>
      <c r="U63" s="19">
        <f t="shared" si="36"/>
        <v>8.1996236748933846</v>
      </c>
      <c r="V63" t="s">
        <v>39</v>
      </c>
      <c r="W63" s="13">
        <f t="shared" si="37"/>
        <v>127.99151534379145</v>
      </c>
      <c r="X63" t="s">
        <v>61</v>
      </c>
      <c r="Y63" s="13">
        <f t="shared" si="38"/>
        <v>2</v>
      </c>
      <c r="Z63" s="12">
        <f t="shared" si="39"/>
        <v>14.123939417973931</v>
      </c>
      <c r="AB63" s="19">
        <f t="shared" si="40"/>
        <v>16.123939417973929</v>
      </c>
      <c r="AC63" t="s">
        <v>39</v>
      </c>
      <c r="AD63" s="14">
        <f t="shared" si="41"/>
        <v>0.3</v>
      </c>
      <c r="AE63" t="str">
        <f t="shared" si="42"/>
        <v>OUT</v>
      </c>
      <c r="AF63" s="14">
        <f t="shared" si="43"/>
        <v>-1.2170000000000001</v>
      </c>
      <c r="AG63" t="str">
        <f t="shared" si="44"/>
        <v>DOUBLE</v>
      </c>
      <c r="AH63" s="14">
        <f t="shared" si="45"/>
        <v>-1.2170000000000001</v>
      </c>
      <c r="AI63" t="str">
        <f t="shared" si="46"/>
        <v>DOUBLE</v>
      </c>
      <c r="AJ63" s="34">
        <f t="shared" ca="1" si="47"/>
        <v>730</v>
      </c>
      <c r="AK63">
        <f t="shared" ca="1" si="48"/>
        <v>0.3</v>
      </c>
      <c r="AL63" s="18">
        <f t="shared" ca="1" si="49"/>
        <v>0.09</v>
      </c>
      <c r="AM63" s="22" t="str">
        <f t="shared" ca="1" si="50"/>
        <v>OUT</v>
      </c>
      <c r="AN63" t="str">
        <f t="shared" ca="1" si="51"/>
        <v/>
      </c>
      <c r="AO63" t="str">
        <f t="shared" ca="1" si="52"/>
        <v/>
      </c>
      <c r="AP63">
        <f t="shared" ca="1" si="53"/>
        <v>177.02</v>
      </c>
      <c r="AQ63">
        <f t="shared" ca="1" si="54"/>
        <v>84.26</v>
      </c>
      <c r="AR63" t="str">
        <f t="shared" ca="1" si="55"/>
        <v/>
      </c>
      <c r="AS63" t="str">
        <f t="shared" ca="1" si="56"/>
        <v/>
      </c>
    </row>
    <row r="64" spans="1:45" x14ac:dyDescent="0.25">
      <c r="A64" s="1">
        <v>43658</v>
      </c>
      <c r="B64">
        <v>269</v>
      </c>
      <c r="C64">
        <v>9</v>
      </c>
      <c r="D64" t="s">
        <v>13</v>
      </c>
      <c r="E64">
        <v>183.96</v>
      </c>
      <c r="F64">
        <v>101.56</v>
      </c>
      <c r="G64" s="31">
        <f>HT!L63</f>
        <v>3.339320402736027</v>
      </c>
      <c r="I64" s="13">
        <f t="shared" si="29"/>
        <v>21.920656924462829</v>
      </c>
      <c r="J64" t="s">
        <v>61</v>
      </c>
      <c r="K64" s="13">
        <f t="shared" si="30"/>
        <v>2</v>
      </c>
      <c r="L64" s="12">
        <f t="shared" si="31"/>
        <v>0.86508211555785364</v>
      </c>
      <c r="N64" s="19">
        <f t="shared" si="32"/>
        <v>2.8650821155578536</v>
      </c>
      <c r="O64" t="s">
        <v>39</v>
      </c>
      <c r="P64" s="13">
        <f t="shared" si="33"/>
        <v>89.229564607253366</v>
      </c>
      <c r="Q64" t="s">
        <v>61</v>
      </c>
      <c r="R64" s="13">
        <f t="shared" si="34"/>
        <v>2</v>
      </c>
      <c r="S64" s="12">
        <f t="shared" si="35"/>
        <v>7.5229564607253367</v>
      </c>
      <c r="U64" s="19">
        <f t="shared" si="36"/>
        <v>9.5229564607253359</v>
      </c>
      <c r="V64" t="s">
        <v>39</v>
      </c>
      <c r="W64" s="13">
        <f t="shared" si="37"/>
        <v>133.96908300051919</v>
      </c>
      <c r="X64" t="s">
        <v>61</v>
      </c>
      <c r="Y64" s="13">
        <f t="shared" si="38"/>
        <v>2</v>
      </c>
      <c r="Z64" s="12">
        <f t="shared" si="39"/>
        <v>14.871135375064899</v>
      </c>
      <c r="AB64" s="19">
        <f t="shared" si="40"/>
        <v>16.871135375064899</v>
      </c>
      <c r="AC64" t="s">
        <v>39</v>
      </c>
      <c r="AD64" s="14">
        <f t="shared" si="41"/>
        <v>0.3</v>
      </c>
      <c r="AE64" t="str">
        <f t="shared" si="42"/>
        <v>OUT</v>
      </c>
      <c r="AF64" s="14">
        <f t="shared" si="43"/>
        <v>-1.2170000000000001</v>
      </c>
      <c r="AG64" t="str">
        <f t="shared" si="44"/>
        <v>DOUBLE</v>
      </c>
      <c r="AH64" s="14">
        <f t="shared" si="45"/>
        <v>-1.2170000000000001</v>
      </c>
      <c r="AI64" t="str">
        <f t="shared" si="46"/>
        <v>DOUBLE</v>
      </c>
      <c r="AJ64" s="34">
        <f t="shared" ca="1" si="47"/>
        <v>709</v>
      </c>
      <c r="AK64">
        <f t="shared" ca="1" si="48"/>
        <v>0.5</v>
      </c>
      <c r="AL64" s="18">
        <f t="shared" ca="1" si="49"/>
        <v>0.15</v>
      </c>
      <c r="AM64" s="22" t="str">
        <f t="shared" ca="1" si="50"/>
        <v>OUT</v>
      </c>
      <c r="AN64" t="str">
        <f t="shared" ca="1" si="51"/>
        <v/>
      </c>
      <c r="AO64" t="str">
        <f t="shared" ca="1" si="52"/>
        <v/>
      </c>
      <c r="AP64">
        <f t="shared" ca="1" si="53"/>
        <v>183.96</v>
      </c>
      <c r="AQ64">
        <f t="shared" ca="1" si="54"/>
        <v>101.56</v>
      </c>
      <c r="AR64" t="str">
        <f t="shared" ca="1" si="55"/>
        <v/>
      </c>
      <c r="AS64" t="str">
        <f t="shared" ca="1" si="56"/>
        <v/>
      </c>
    </row>
    <row r="65" spans="1:45" x14ac:dyDescent="0.25">
      <c r="A65" s="1">
        <v>43714</v>
      </c>
      <c r="B65">
        <v>253</v>
      </c>
      <c r="C65">
        <v>9</v>
      </c>
      <c r="D65" t="s">
        <v>18</v>
      </c>
      <c r="E65">
        <v>184.77</v>
      </c>
      <c r="F65">
        <v>88.29</v>
      </c>
      <c r="G65" s="31">
        <f>HT!L62</f>
        <v>2.8412472364350712</v>
      </c>
      <c r="I65" s="13">
        <f t="shared" si="29"/>
        <v>9.5643609300360577</v>
      </c>
      <c r="J65" t="s">
        <v>61</v>
      </c>
      <c r="K65" s="13">
        <f t="shared" si="30"/>
        <v>1.9128721860072115</v>
      </c>
      <c r="L65" s="12">
        <f t="shared" si="31"/>
        <v>0</v>
      </c>
      <c r="N65" s="19">
        <f t="shared" si="32"/>
        <v>1.9128721860072115</v>
      </c>
      <c r="O65" t="s">
        <v>39</v>
      </c>
      <c r="P65" s="13">
        <f t="shared" si="33"/>
        <v>84.637917034860934</v>
      </c>
      <c r="Q65" t="s">
        <v>61</v>
      </c>
      <c r="R65" s="13">
        <f t="shared" si="34"/>
        <v>2</v>
      </c>
      <c r="S65" s="12">
        <f t="shared" si="35"/>
        <v>7.0637917034860935</v>
      </c>
      <c r="U65" s="19">
        <f t="shared" si="36"/>
        <v>9.0637917034860926</v>
      </c>
      <c r="V65" t="s">
        <v>39</v>
      </c>
      <c r="W65" s="13">
        <f t="shared" si="37"/>
        <v>135.27777718457679</v>
      </c>
      <c r="X65" t="s">
        <v>61</v>
      </c>
      <c r="Y65" s="13">
        <f t="shared" si="38"/>
        <v>2</v>
      </c>
      <c r="Z65" s="12">
        <f t="shared" si="39"/>
        <v>15.034722148072099</v>
      </c>
      <c r="AB65" s="19">
        <f t="shared" si="40"/>
        <v>17.034722148072099</v>
      </c>
      <c r="AC65" t="s">
        <v>39</v>
      </c>
      <c r="AD65" s="14">
        <f t="shared" si="41"/>
        <v>0.3</v>
      </c>
      <c r="AE65" t="str">
        <f t="shared" si="42"/>
        <v>OUT</v>
      </c>
      <c r="AF65" s="14">
        <f t="shared" si="43"/>
        <v>-1.2170000000000001</v>
      </c>
      <c r="AG65" t="str">
        <f t="shared" si="44"/>
        <v>DOUBLE</v>
      </c>
      <c r="AH65" s="14">
        <f t="shared" si="45"/>
        <v>-1.2170000000000001</v>
      </c>
      <c r="AI65" t="str">
        <f t="shared" si="46"/>
        <v>DOUBLE</v>
      </c>
      <c r="AJ65" s="34">
        <f t="shared" ca="1" si="47"/>
        <v>653</v>
      </c>
      <c r="AK65">
        <f t="shared" ca="1" si="48"/>
        <v>0.5</v>
      </c>
      <c r="AL65" s="18">
        <f t="shared" ca="1" si="49"/>
        <v>0.15</v>
      </c>
      <c r="AM65" s="22" t="str">
        <f t="shared" ca="1" si="50"/>
        <v>OUT</v>
      </c>
      <c r="AN65" t="str">
        <f t="shared" ca="1" si="51"/>
        <v/>
      </c>
      <c r="AO65" t="str">
        <f t="shared" ca="1" si="52"/>
        <v/>
      </c>
      <c r="AP65">
        <f t="shared" ca="1" si="53"/>
        <v>184.77</v>
      </c>
      <c r="AQ65">
        <f t="shared" ca="1" si="54"/>
        <v>88.29</v>
      </c>
      <c r="AR65" t="str">
        <f t="shared" ca="1" si="55"/>
        <v/>
      </c>
      <c r="AS65" t="str">
        <f t="shared" ca="1" si="56"/>
        <v/>
      </c>
    </row>
    <row r="66" spans="1:45" x14ac:dyDescent="0.25">
      <c r="A66" s="1">
        <v>44322</v>
      </c>
      <c r="B66">
        <v>322</v>
      </c>
      <c r="C66">
        <v>9</v>
      </c>
      <c r="D66" t="s">
        <v>13</v>
      </c>
      <c r="E66">
        <v>184.95</v>
      </c>
      <c r="F66">
        <v>83.46</v>
      </c>
      <c r="G66" s="31">
        <f>HT!L37</f>
        <v>7.2883835441464058</v>
      </c>
      <c r="I66" s="13">
        <f t="shared" si="29"/>
        <v>6.0393791071599274</v>
      </c>
      <c r="J66" t="s">
        <v>61</v>
      </c>
      <c r="K66" s="13">
        <f t="shared" si="30"/>
        <v>1.2078758214319856</v>
      </c>
      <c r="L66" s="12">
        <f t="shared" si="31"/>
        <v>0</v>
      </c>
      <c r="N66" s="19">
        <f t="shared" si="32"/>
        <v>1.2078758214319856</v>
      </c>
      <c r="O66" t="s">
        <v>39</v>
      </c>
      <c r="P66" s="13">
        <f t="shared" si="33"/>
        <v>83.320910340682175</v>
      </c>
      <c r="Q66" t="s">
        <v>61</v>
      </c>
      <c r="R66" s="13">
        <f t="shared" si="34"/>
        <v>2</v>
      </c>
      <c r="S66" s="12">
        <f t="shared" si="35"/>
        <v>6.9320910340682174</v>
      </c>
      <c r="U66" s="19">
        <f t="shared" si="36"/>
        <v>8.9320910340682182</v>
      </c>
      <c r="V66" t="s">
        <v>39</v>
      </c>
      <c r="W66" s="13">
        <f t="shared" si="37"/>
        <v>135.95982531615726</v>
      </c>
      <c r="X66" t="s">
        <v>61</v>
      </c>
      <c r="Y66" s="13">
        <f t="shared" si="38"/>
        <v>2</v>
      </c>
      <c r="Z66" s="12">
        <f t="shared" si="39"/>
        <v>15.119978164519658</v>
      </c>
      <c r="AB66" s="19">
        <f t="shared" si="40"/>
        <v>17.119978164519658</v>
      </c>
      <c r="AC66" t="s">
        <v>39</v>
      </c>
      <c r="AD66" s="14">
        <f t="shared" si="41"/>
        <v>0.3</v>
      </c>
      <c r="AE66" t="str">
        <f t="shared" si="42"/>
        <v>OUT</v>
      </c>
      <c r="AF66" s="14">
        <f t="shared" si="43"/>
        <v>-0.87</v>
      </c>
      <c r="AG66" t="str">
        <f t="shared" si="44"/>
        <v>SINGLE</v>
      </c>
      <c r="AH66" s="14">
        <f t="shared" si="45"/>
        <v>-1.2170000000000001</v>
      </c>
      <c r="AI66" t="str">
        <f t="shared" si="46"/>
        <v>DOUBLE</v>
      </c>
      <c r="AJ66" s="34">
        <f t="shared" ca="1" si="47"/>
        <v>45</v>
      </c>
      <c r="AK66">
        <f t="shared" ca="1" si="48"/>
        <v>1</v>
      </c>
      <c r="AL66" s="18">
        <f t="shared" ca="1" si="49"/>
        <v>0.3</v>
      </c>
      <c r="AM66" s="22" t="str">
        <f t="shared" ca="1" si="50"/>
        <v>OUT</v>
      </c>
      <c r="AN66" t="str">
        <f t="shared" ca="1" si="51"/>
        <v/>
      </c>
      <c r="AO66" t="str">
        <f t="shared" ca="1" si="52"/>
        <v/>
      </c>
      <c r="AP66">
        <f t="shared" ca="1" si="53"/>
        <v>184.95</v>
      </c>
      <c r="AQ66">
        <f t="shared" ca="1" si="54"/>
        <v>83.46</v>
      </c>
      <c r="AR66" t="str">
        <f t="shared" ca="1" si="55"/>
        <v/>
      </c>
      <c r="AS66" t="str">
        <f t="shared" ca="1" si="56"/>
        <v/>
      </c>
    </row>
    <row r="67" spans="1:45" x14ac:dyDescent="0.25">
      <c r="A67" s="1">
        <v>43645</v>
      </c>
      <c r="B67">
        <v>240</v>
      </c>
      <c r="C67">
        <v>9</v>
      </c>
      <c r="D67" t="s">
        <v>13</v>
      </c>
      <c r="E67">
        <v>188.45</v>
      </c>
      <c r="F67">
        <v>119.65</v>
      </c>
      <c r="G67" s="31">
        <f>HT!L70</f>
        <v>5.5684002428202506</v>
      </c>
      <c r="I67" s="13">
        <f t="shared" si="29"/>
        <v>40.540411936732959</v>
      </c>
      <c r="J67" t="s">
        <v>61</v>
      </c>
      <c r="K67" s="13">
        <f t="shared" si="30"/>
        <v>2</v>
      </c>
      <c r="L67" s="12">
        <f t="shared" si="31"/>
        <v>3.1925514920916198</v>
      </c>
      <c r="N67" s="19">
        <f t="shared" si="32"/>
        <v>5.1925514920916198</v>
      </c>
      <c r="O67" t="s">
        <v>39</v>
      </c>
      <c r="P67" s="13">
        <f t="shared" si="33"/>
        <v>102.57692235585935</v>
      </c>
      <c r="Q67" t="s">
        <v>61</v>
      </c>
      <c r="R67" s="13">
        <f t="shared" si="34"/>
        <v>2</v>
      </c>
      <c r="S67" s="12">
        <f t="shared" si="35"/>
        <v>8.8576922355859349</v>
      </c>
      <c r="U67" s="19">
        <f t="shared" si="36"/>
        <v>10.857692235585935</v>
      </c>
      <c r="V67" t="s">
        <v>39</v>
      </c>
      <c r="W67" s="13">
        <f t="shared" si="37"/>
        <v>139.83749497184223</v>
      </c>
      <c r="X67" t="s">
        <v>61</v>
      </c>
      <c r="Y67" s="13">
        <f t="shared" si="38"/>
        <v>2</v>
      </c>
      <c r="Z67" s="12">
        <f t="shared" si="39"/>
        <v>15.604686871480279</v>
      </c>
      <c r="AB67" s="19">
        <f t="shared" si="40"/>
        <v>17.604686871480279</v>
      </c>
      <c r="AC67" t="s">
        <v>39</v>
      </c>
      <c r="AD67" s="14">
        <f t="shared" si="41"/>
        <v>0.3</v>
      </c>
      <c r="AE67" t="str">
        <f t="shared" si="42"/>
        <v>OUT</v>
      </c>
      <c r="AF67" s="14">
        <f t="shared" si="43"/>
        <v>-1.2170000000000001</v>
      </c>
      <c r="AG67" t="str">
        <f t="shared" si="44"/>
        <v>DOUBLE</v>
      </c>
      <c r="AH67" s="14">
        <f t="shared" si="45"/>
        <v>-1.2170000000000001</v>
      </c>
      <c r="AI67" t="str">
        <f t="shared" si="46"/>
        <v>DOUBLE</v>
      </c>
      <c r="AJ67" s="34">
        <f t="shared" ca="1" si="47"/>
        <v>722</v>
      </c>
      <c r="AK67">
        <f t="shared" ca="1" si="48"/>
        <v>0.3</v>
      </c>
      <c r="AL67" s="18">
        <f t="shared" ca="1" si="49"/>
        <v>0.09</v>
      </c>
      <c r="AM67" s="22" t="str">
        <f t="shared" ca="1" si="50"/>
        <v>OUT</v>
      </c>
      <c r="AN67" t="str">
        <f t="shared" ca="1" si="51"/>
        <v/>
      </c>
      <c r="AO67" t="str">
        <f t="shared" ca="1" si="52"/>
        <v/>
      </c>
      <c r="AP67">
        <f t="shared" ca="1" si="53"/>
        <v>188.45</v>
      </c>
      <c r="AQ67">
        <f t="shared" ca="1" si="54"/>
        <v>119.65</v>
      </c>
      <c r="AR67" t="str">
        <f t="shared" ca="1" si="55"/>
        <v/>
      </c>
      <c r="AS67" t="str">
        <f t="shared" ca="1" si="56"/>
        <v/>
      </c>
    </row>
    <row r="68" spans="1:45" x14ac:dyDescent="0.25">
      <c r="A68" s="1">
        <v>43672</v>
      </c>
      <c r="B68">
        <v>254</v>
      </c>
      <c r="C68">
        <v>9</v>
      </c>
      <c r="D68" t="s">
        <v>13</v>
      </c>
      <c r="E68">
        <v>190.44</v>
      </c>
      <c r="F68">
        <v>113.64</v>
      </c>
      <c r="G68" s="31">
        <f>HT!L52</f>
        <v>5.5626000503516408</v>
      </c>
      <c r="I68" s="13">
        <f t="shared" si="29"/>
        <v>35.222765365598427</v>
      </c>
      <c r="J68" t="s">
        <v>61</v>
      </c>
      <c r="K68" s="13">
        <f t="shared" si="30"/>
        <v>2</v>
      </c>
      <c r="L68" s="12">
        <f t="shared" si="31"/>
        <v>2.5278456706998034</v>
      </c>
      <c r="N68" s="19">
        <f t="shared" si="32"/>
        <v>4.5278456706998034</v>
      </c>
      <c r="O68" t="s">
        <v>39</v>
      </c>
      <c r="P68" s="13">
        <f t="shared" si="33"/>
        <v>100.88232352597754</v>
      </c>
      <c r="Q68" t="s">
        <v>61</v>
      </c>
      <c r="R68" s="13">
        <f t="shared" si="34"/>
        <v>2</v>
      </c>
      <c r="S68" s="12">
        <f t="shared" si="35"/>
        <v>8.6882323525977547</v>
      </c>
      <c r="U68" s="19">
        <f t="shared" si="36"/>
        <v>10.688232352597755</v>
      </c>
      <c r="V68" t="s">
        <v>39</v>
      </c>
      <c r="W68" s="13">
        <f t="shared" si="37"/>
        <v>141.10082636186081</v>
      </c>
      <c r="X68" t="s">
        <v>61</v>
      </c>
      <c r="Y68" s="13">
        <f t="shared" si="38"/>
        <v>2</v>
      </c>
      <c r="Z68" s="12">
        <f t="shared" si="39"/>
        <v>15.762603295232601</v>
      </c>
      <c r="AB68" s="19">
        <f t="shared" si="40"/>
        <v>17.762603295232601</v>
      </c>
      <c r="AC68" t="s">
        <v>39</v>
      </c>
      <c r="AD68" s="14">
        <f t="shared" si="41"/>
        <v>0.3</v>
      </c>
      <c r="AE68" t="str">
        <f t="shared" si="42"/>
        <v>OUT</v>
      </c>
      <c r="AF68" s="14">
        <f t="shared" si="43"/>
        <v>-1.2170000000000001</v>
      </c>
      <c r="AG68" t="str">
        <f t="shared" si="44"/>
        <v>DOUBLE</v>
      </c>
      <c r="AH68" s="14">
        <f t="shared" si="45"/>
        <v>-1.2170000000000001</v>
      </c>
      <c r="AI68" t="str">
        <f t="shared" si="46"/>
        <v>DOUBLE</v>
      </c>
      <c r="AJ68" s="34">
        <f t="shared" ca="1" si="47"/>
        <v>695</v>
      </c>
      <c r="AK68">
        <f t="shared" ca="1" si="48"/>
        <v>0.5</v>
      </c>
      <c r="AL68" s="18">
        <f t="shared" ca="1" si="49"/>
        <v>0.15</v>
      </c>
      <c r="AM68" s="22" t="str">
        <f t="shared" ca="1" si="50"/>
        <v>OUT</v>
      </c>
      <c r="AN68" t="str">
        <f t="shared" ca="1" si="51"/>
        <v/>
      </c>
      <c r="AO68" t="str">
        <f t="shared" ca="1" si="52"/>
        <v/>
      </c>
      <c r="AP68">
        <f t="shared" ca="1" si="53"/>
        <v>190.44</v>
      </c>
      <c r="AQ68">
        <f t="shared" ca="1" si="54"/>
        <v>113.64</v>
      </c>
      <c r="AR68" t="str">
        <f t="shared" ca="1" si="55"/>
        <v/>
      </c>
      <c r="AS68" t="str">
        <f t="shared" ca="1" si="56"/>
        <v/>
      </c>
    </row>
    <row r="69" spans="1:45" x14ac:dyDescent="0.25">
      <c r="A69" s="1">
        <v>43700</v>
      </c>
      <c r="B69">
        <v>295</v>
      </c>
      <c r="C69">
        <v>9</v>
      </c>
      <c r="D69" t="s">
        <v>65</v>
      </c>
      <c r="E69">
        <v>192.4</v>
      </c>
      <c r="F69">
        <v>93.21</v>
      </c>
      <c r="G69" s="31">
        <f>HT!L24</f>
        <v>6.8580974870445575</v>
      </c>
      <c r="I69" s="13">
        <f t="shared" si="29"/>
        <v>18.118060050678714</v>
      </c>
      <c r="J69" t="s">
        <v>61</v>
      </c>
      <c r="K69" s="13">
        <f t="shared" si="30"/>
        <v>2</v>
      </c>
      <c r="L69" s="12">
        <f t="shared" si="31"/>
        <v>0.3897575063348393</v>
      </c>
      <c r="N69" s="19">
        <f t="shared" si="32"/>
        <v>2.3897575063348393</v>
      </c>
      <c r="O69" t="s">
        <v>39</v>
      </c>
      <c r="P69" s="13">
        <f t="shared" si="33"/>
        <v>93.496866792422509</v>
      </c>
      <c r="Q69" t="s">
        <v>61</v>
      </c>
      <c r="R69" s="13">
        <f t="shared" si="34"/>
        <v>2</v>
      </c>
      <c r="S69" s="12">
        <f t="shared" si="35"/>
        <v>7.9496866792422507</v>
      </c>
      <c r="U69" s="19">
        <f t="shared" si="36"/>
        <v>9.9496866792422516</v>
      </c>
      <c r="V69" t="s">
        <v>39</v>
      </c>
      <c r="W69" s="13">
        <f t="shared" si="37"/>
        <v>142.56179046294278</v>
      </c>
      <c r="X69" t="s">
        <v>61</v>
      </c>
      <c r="Y69" s="13">
        <f t="shared" si="38"/>
        <v>2</v>
      </c>
      <c r="Z69" s="12">
        <f t="shared" si="39"/>
        <v>15.945223807867848</v>
      </c>
      <c r="AB69" s="19">
        <f t="shared" si="40"/>
        <v>17.945223807867848</v>
      </c>
      <c r="AC69" t="s">
        <v>39</v>
      </c>
      <c r="AD69" s="14">
        <f t="shared" si="41"/>
        <v>0.3</v>
      </c>
      <c r="AE69" t="str">
        <f t="shared" si="42"/>
        <v>OUT</v>
      </c>
      <c r="AF69" s="14">
        <f t="shared" si="43"/>
        <v>-1.2170000000000001</v>
      </c>
      <c r="AG69" t="str">
        <f t="shared" si="44"/>
        <v>DOUBLE</v>
      </c>
      <c r="AH69" s="14">
        <f t="shared" si="45"/>
        <v>-1.2170000000000001</v>
      </c>
      <c r="AI69" t="str">
        <f t="shared" si="46"/>
        <v>DOUBLE</v>
      </c>
      <c r="AJ69" s="34">
        <f t="shared" ca="1" si="47"/>
        <v>667</v>
      </c>
      <c r="AK69">
        <f t="shared" ca="1" si="48"/>
        <v>0.5</v>
      </c>
      <c r="AL69" s="18">
        <f t="shared" ca="1" si="49"/>
        <v>0.15</v>
      </c>
      <c r="AM69" s="22" t="str">
        <f t="shared" ca="1" si="50"/>
        <v>OUT</v>
      </c>
      <c r="AN69" t="str">
        <f t="shared" ca="1" si="51"/>
        <v/>
      </c>
      <c r="AO69" t="str">
        <f t="shared" ca="1" si="52"/>
        <v/>
      </c>
      <c r="AP69">
        <f t="shared" ca="1" si="53"/>
        <v>192.4</v>
      </c>
      <c r="AQ69">
        <f t="shared" ca="1" si="54"/>
        <v>93.21</v>
      </c>
      <c r="AR69" t="str">
        <f t="shared" ca="1" si="55"/>
        <v/>
      </c>
      <c r="AS69" t="str">
        <f t="shared" ca="1" si="56"/>
        <v/>
      </c>
    </row>
    <row r="70" spans="1:45" x14ac:dyDescent="0.25">
      <c r="A70" s="1">
        <v>44085</v>
      </c>
      <c r="B70">
        <v>362</v>
      </c>
      <c r="C70">
        <v>9</v>
      </c>
      <c r="D70" t="s">
        <v>13</v>
      </c>
      <c r="E70">
        <v>194.73</v>
      </c>
      <c r="F70">
        <v>61.44</v>
      </c>
      <c r="G70" s="31">
        <f>HT!L44</f>
        <v>4.7799771357380418</v>
      </c>
      <c r="I70" s="13">
        <f t="shared" si="29"/>
        <v>23.694862312324158</v>
      </c>
      <c r="J70" t="s">
        <v>61</v>
      </c>
      <c r="K70" s="13">
        <f t="shared" si="30"/>
        <v>2</v>
      </c>
      <c r="L70" s="12">
        <f t="shared" si="31"/>
        <v>1.0868577890405198</v>
      </c>
      <c r="N70" s="19">
        <f t="shared" si="32"/>
        <v>3.0868577890405198</v>
      </c>
      <c r="O70" t="s">
        <v>39</v>
      </c>
      <c r="P70" s="13">
        <f t="shared" si="33"/>
        <v>89.741553920132219</v>
      </c>
      <c r="Q70" t="s">
        <v>61</v>
      </c>
      <c r="R70" s="13">
        <f t="shared" si="34"/>
        <v>2</v>
      </c>
      <c r="S70" s="12">
        <f t="shared" si="35"/>
        <v>7.5741553920132221</v>
      </c>
      <c r="U70" s="19">
        <f t="shared" si="36"/>
        <v>9.5741553920132212</v>
      </c>
      <c r="V70" t="s">
        <v>39</v>
      </c>
      <c r="W70" s="13">
        <f t="shared" si="37"/>
        <v>149.77865835959406</v>
      </c>
      <c r="X70" t="s">
        <v>61</v>
      </c>
      <c r="Y70" s="13">
        <f t="shared" si="38"/>
        <v>2</v>
      </c>
      <c r="Z70" s="12">
        <f t="shared" si="39"/>
        <v>16.847332294949258</v>
      </c>
      <c r="AB70" s="19">
        <f t="shared" si="40"/>
        <v>18.847332294949258</v>
      </c>
      <c r="AC70" t="s">
        <v>39</v>
      </c>
      <c r="AD70" s="14">
        <f t="shared" si="41"/>
        <v>0.3</v>
      </c>
      <c r="AE70" t="str">
        <f t="shared" si="42"/>
        <v>OUT</v>
      </c>
      <c r="AF70" s="14">
        <f t="shared" si="43"/>
        <v>-1.2170000000000001</v>
      </c>
      <c r="AG70" t="str">
        <f t="shared" si="44"/>
        <v>DOUBLE</v>
      </c>
      <c r="AH70" s="14">
        <f t="shared" si="45"/>
        <v>-1.2170000000000001</v>
      </c>
      <c r="AI70" t="str">
        <f t="shared" si="46"/>
        <v>DOUBLE</v>
      </c>
      <c r="AJ70" s="34">
        <f t="shared" ca="1" si="47"/>
        <v>282</v>
      </c>
      <c r="AK70">
        <f t="shared" ca="1" si="48"/>
        <v>0.7</v>
      </c>
      <c r="AL70" s="18">
        <f t="shared" ca="1" si="49"/>
        <v>0.21</v>
      </c>
      <c r="AM70" s="22" t="str">
        <f t="shared" ca="1" si="50"/>
        <v>OUT</v>
      </c>
      <c r="AN70" t="str">
        <f t="shared" ca="1" si="51"/>
        <v/>
      </c>
      <c r="AO70" t="str">
        <f t="shared" ca="1" si="52"/>
        <v/>
      </c>
      <c r="AP70">
        <f t="shared" ca="1" si="53"/>
        <v>194.73</v>
      </c>
      <c r="AQ70">
        <f t="shared" ca="1" si="54"/>
        <v>61.44</v>
      </c>
      <c r="AR70" t="str">
        <f t="shared" ca="1" si="55"/>
        <v/>
      </c>
      <c r="AS70" t="str">
        <f t="shared" ca="1" si="56"/>
        <v/>
      </c>
    </row>
    <row r="71" spans="1:45" x14ac:dyDescent="0.25">
      <c r="A71" s="1">
        <v>44324</v>
      </c>
      <c r="B71">
        <v>285</v>
      </c>
      <c r="C71">
        <v>9</v>
      </c>
      <c r="D71" t="s">
        <v>65</v>
      </c>
      <c r="E71">
        <v>197.72</v>
      </c>
      <c r="F71">
        <v>109.08</v>
      </c>
      <c r="G71" s="31">
        <f>HT!L36</f>
        <v>3.1170794748632447</v>
      </c>
      <c r="I71" s="13">
        <f t="shared" si="29"/>
        <v>34.053557817062227</v>
      </c>
      <c r="J71" t="s">
        <v>61</v>
      </c>
      <c r="K71" s="13">
        <f t="shared" si="30"/>
        <v>2</v>
      </c>
      <c r="L71" s="12">
        <f t="shared" si="31"/>
        <v>2.3816947271327784</v>
      </c>
      <c r="N71" s="19">
        <f t="shared" si="32"/>
        <v>4.3816947271327784</v>
      </c>
      <c r="O71" t="s">
        <v>39</v>
      </c>
      <c r="P71" s="13">
        <f t="shared" si="33"/>
        <v>104.90874510735509</v>
      </c>
      <c r="Q71" t="s">
        <v>61</v>
      </c>
      <c r="R71" s="13">
        <f t="shared" si="34"/>
        <v>2</v>
      </c>
      <c r="S71" s="12">
        <f t="shared" si="35"/>
        <v>9.0908745107355085</v>
      </c>
      <c r="U71" s="19">
        <f t="shared" si="36"/>
        <v>11.090874510735508</v>
      </c>
      <c r="V71" t="s">
        <v>39</v>
      </c>
      <c r="W71" s="13">
        <f t="shared" si="37"/>
        <v>147.9987999951351</v>
      </c>
      <c r="X71" t="s">
        <v>61</v>
      </c>
      <c r="Y71" s="13">
        <f t="shared" si="38"/>
        <v>2</v>
      </c>
      <c r="Z71" s="12">
        <f t="shared" si="39"/>
        <v>16.624849999391888</v>
      </c>
      <c r="AB71" s="19">
        <f t="shared" si="40"/>
        <v>18.624849999391888</v>
      </c>
      <c r="AC71" t="s">
        <v>39</v>
      </c>
      <c r="AD71" s="14">
        <f t="shared" si="41"/>
        <v>-0.87</v>
      </c>
      <c r="AE71" t="str">
        <f t="shared" si="42"/>
        <v>SINGLE</v>
      </c>
      <c r="AF71" s="14">
        <f t="shared" si="43"/>
        <v>-1.2170000000000001</v>
      </c>
      <c r="AG71" t="str">
        <f t="shared" si="44"/>
        <v>DOUBLE</v>
      </c>
      <c r="AH71" s="14">
        <f t="shared" si="45"/>
        <v>-1.2170000000000001</v>
      </c>
      <c r="AI71" t="str">
        <f t="shared" si="46"/>
        <v>DOUBLE</v>
      </c>
      <c r="AJ71" s="34">
        <f t="shared" ca="1" si="47"/>
        <v>43</v>
      </c>
      <c r="AK71">
        <f t="shared" ca="1" si="48"/>
        <v>1</v>
      </c>
      <c r="AL71" s="18">
        <f t="shared" ca="1" si="49"/>
        <v>-0.87</v>
      </c>
      <c r="AM71" s="22" t="str">
        <f t="shared" ca="1" si="50"/>
        <v>SINGLE</v>
      </c>
      <c r="AN71">
        <f t="shared" ca="1" si="51"/>
        <v>197.72</v>
      </c>
      <c r="AO71">
        <f t="shared" ca="1" si="52"/>
        <v>109.08</v>
      </c>
      <c r="AP71" t="str">
        <f t="shared" ca="1" si="53"/>
        <v/>
      </c>
      <c r="AQ71" t="str">
        <f t="shared" ca="1" si="54"/>
        <v/>
      </c>
      <c r="AR71" t="str">
        <f t="shared" ca="1" si="55"/>
        <v/>
      </c>
      <c r="AS71" t="str">
        <f t="shared" ca="1" si="56"/>
        <v/>
      </c>
    </row>
    <row r="72" spans="1:45" x14ac:dyDescent="0.25">
      <c r="A72" s="1">
        <v>44362</v>
      </c>
      <c r="B72">
        <v>356</v>
      </c>
      <c r="C72">
        <v>9</v>
      </c>
      <c r="D72" t="s">
        <v>66</v>
      </c>
      <c r="E72">
        <v>197.94</v>
      </c>
      <c r="F72">
        <v>73.97</v>
      </c>
      <c r="G72" s="31">
        <f>HT!L34</f>
        <v>5.1048169938179235</v>
      </c>
      <c r="I72" s="13">
        <f t="shared" si="29"/>
        <v>18.926291237323806</v>
      </c>
      <c r="J72" t="s">
        <v>61</v>
      </c>
      <c r="K72" s="13">
        <f t="shared" si="30"/>
        <v>2</v>
      </c>
      <c r="L72" s="12">
        <f t="shared" si="31"/>
        <v>0.49078640466547574</v>
      </c>
      <c r="N72" s="19">
        <f t="shared" si="32"/>
        <v>2.4907864046654757</v>
      </c>
      <c r="O72" t="s">
        <v>39</v>
      </c>
      <c r="P72" s="13">
        <f t="shared" si="33"/>
        <v>93.984065138724446</v>
      </c>
      <c r="Q72" t="s">
        <v>61</v>
      </c>
      <c r="R72" s="13">
        <f t="shared" si="34"/>
        <v>2</v>
      </c>
      <c r="S72" s="12">
        <f t="shared" si="35"/>
        <v>7.9984065138724443</v>
      </c>
      <c r="U72" s="19">
        <f t="shared" si="36"/>
        <v>9.9984065138724443</v>
      </c>
      <c r="V72" t="s">
        <v>39</v>
      </c>
      <c r="W72" s="13">
        <f t="shared" si="37"/>
        <v>150.21253110176926</v>
      </c>
      <c r="X72" t="s">
        <v>61</v>
      </c>
      <c r="Y72" s="13">
        <f t="shared" si="38"/>
        <v>2</v>
      </c>
      <c r="Z72" s="12">
        <f t="shared" si="39"/>
        <v>16.901566387721157</v>
      </c>
      <c r="AB72" s="19">
        <f t="shared" si="40"/>
        <v>18.901566387721157</v>
      </c>
      <c r="AC72" t="s">
        <v>39</v>
      </c>
      <c r="AD72" s="14">
        <f t="shared" si="41"/>
        <v>0.3</v>
      </c>
      <c r="AE72" t="str">
        <f t="shared" si="42"/>
        <v>OUT</v>
      </c>
      <c r="AF72" s="14">
        <f t="shared" si="43"/>
        <v>-1.2170000000000001</v>
      </c>
      <c r="AG72" t="str">
        <f t="shared" si="44"/>
        <v>DOUBLE</v>
      </c>
      <c r="AH72" s="14">
        <f t="shared" si="45"/>
        <v>-1.2170000000000001</v>
      </c>
      <c r="AI72" t="str">
        <f t="shared" si="46"/>
        <v>DOUBLE</v>
      </c>
      <c r="AJ72" s="34">
        <f t="shared" ca="1" si="47"/>
        <v>5</v>
      </c>
      <c r="AK72">
        <f t="shared" ca="1" si="48"/>
        <v>1</v>
      </c>
      <c r="AL72" s="18">
        <f t="shared" ca="1" si="49"/>
        <v>0.3</v>
      </c>
      <c r="AM72" s="22" t="str">
        <f t="shared" ca="1" si="50"/>
        <v>OUT</v>
      </c>
      <c r="AN72" t="str">
        <f t="shared" ca="1" si="51"/>
        <v/>
      </c>
      <c r="AO72" t="str">
        <f t="shared" ca="1" si="52"/>
        <v/>
      </c>
      <c r="AP72">
        <f t="shared" ca="1" si="53"/>
        <v>197.94</v>
      </c>
      <c r="AQ72">
        <f t="shared" ca="1" si="54"/>
        <v>73.97</v>
      </c>
      <c r="AR72" t="str">
        <f t="shared" ca="1" si="55"/>
        <v/>
      </c>
      <c r="AS72" t="str">
        <f t="shared" ca="1" si="56"/>
        <v/>
      </c>
    </row>
    <row r="73" spans="1:45" x14ac:dyDescent="0.25">
      <c r="A73" s="1">
        <v>44321</v>
      </c>
      <c r="B73">
        <v>267</v>
      </c>
      <c r="C73">
        <v>9</v>
      </c>
      <c r="D73" t="s">
        <v>13</v>
      </c>
      <c r="E73">
        <v>198.3</v>
      </c>
      <c r="F73">
        <v>119.11</v>
      </c>
      <c r="G73" s="31">
        <f>HT!L39</f>
        <v>5.6222244657971716</v>
      </c>
      <c r="I73" s="13">
        <f t="shared" si="29"/>
        <v>43.179649141696373</v>
      </c>
      <c r="J73" t="s">
        <v>61</v>
      </c>
      <c r="K73" s="13">
        <f t="shared" si="30"/>
        <v>2</v>
      </c>
      <c r="L73" s="12">
        <f t="shared" si="31"/>
        <v>3.5224561427120467</v>
      </c>
      <c r="N73" s="19">
        <f t="shared" si="32"/>
        <v>5.5224561427120467</v>
      </c>
      <c r="O73" t="s">
        <v>39</v>
      </c>
      <c r="P73" s="13">
        <f t="shared" si="33"/>
        <v>110.4485495604175</v>
      </c>
      <c r="Q73" t="s">
        <v>61</v>
      </c>
      <c r="R73" s="13">
        <f t="shared" si="34"/>
        <v>2</v>
      </c>
      <c r="S73" s="12">
        <f t="shared" si="35"/>
        <v>9.6448549560417511</v>
      </c>
      <c r="U73" s="19">
        <f t="shared" si="36"/>
        <v>11.644854956041751</v>
      </c>
      <c r="V73" t="s">
        <v>39</v>
      </c>
      <c r="W73" s="13">
        <f t="shared" si="37"/>
        <v>149.52619201999363</v>
      </c>
      <c r="X73" t="s">
        <v>61</v>
      </c>
      <c r="Y73" s="13">
        <f t="shared" si="38"/>
        <v>2</v>
      </c>
      <c r="Z73" s="12">
        <f t="shared" si="39"/>
        <v>16.815774002499204</v>
      </c>
      <c r="AB73" s="19">
        <f t="shared" si="40"/>
        <v>18.815774002499204</v>
      </c>
      <c r="AC73" t="s">
        <v>39</v>
      </c>
      <c r="AD73" s="14">
        <f t="shared" si="41"/>
        <v>0.3</v>
      </c>
      <c r="AE73" t="str">
        <f t="shared" si="42"/>
        <v>OUT</v>
      </c>
      <c r="AF73" s="14">
        <f t="shared" si="43"/>
        <v>-1.2170000000000001</v>
      </c>
      <c r="AG73" t="str">
        <f t="shared" si="44"/>
        <v>DOUBLE</v>
      </c>
      <c r="AH73" s="14">
        <f t="shared" si="45"/>
        <v>-1.2170000000000001</v>
      </c>
      <c r="AI73" t="str">
        <f t="shared" si="46"/>
        <v>DOUBLE</v>
      </c>
      <c r="AJ73" s="34">
        <f t="shared" ca="1" si="47"/>
        <v>46</v>
      </c>
      <c r="AK73">
        <f t="shared" ca="1" si="48"/>
        <v>1</v>
      </c>
      <c r="AL73" s="18">
        <f t="shared" ca="1" si="49"/>
        <v>0.3</v>
      </c>
      <c r="AM73" s="22" t="str">
        <f t="shared" ca="1" si="50"/>
        <v>OUT</v>
      </c>
      <c r="AN73" t="str">
        <f t="shared" ca="1" si="51"/>
        <v/>
      </c>
      <c r="AO73" t="str">
        <f t="shared" ca="1" si="52"/>
        <v/>
      </c>
      <c r="AP73">
        <f t="shared" ca="1" si="53"/>
        <v>198.3</v>
      </c>
      <c r="AQ73">
        <f t="shared" ca="1" si="54"/>
        <v>119.11</v>
      </c>
      <c r="AR73" t="str">
        <f t="shared" ca="1" si="55"/>
        <v/>
      </c>
      <c r="AS73" t="str">
        <f t="shared" ca="1" si="56"/>
        <v/>
      </c>
    </row>
    <row r="74" spans="1:45" x14ac:dyDescent="0.25">
      <c r="A74" s="1">
        <v>43700</v>
      </c>
      <c r="B74">
        <v>289</v>
      </c>
      <c r="C74">
        <v>9</v>
      </c>
      <c r="D74" t="s">
        <v>13</v>
      </c>
      <c r="E74">
        <v>200.16</v>
      </c>
      <c r="F74">
        <v>101.1</v>
      </c>
      <c r="G74" s="31">
        <f>HT!L25</f>
        <v>6.358889580136144</v>
      </c>
      <c r="I74" s="13">
        <f t="shared" si="29"/>
        <v>29.182796301931035</v>
      </c>
      <c r="J74" t="s">
        <v>61</v>
      </c>
      <c r="K74" s="13">
        <f t="shared" si="30"/>
        <v>2</v>
      </c>
      <c r="L74" s="12">
        <f t="shared" si="31"/>
        <v>1.7728495377413793</v>
      </c>
      <c r="N74" s="19">
        <f t="shared" si="32"/>
        <v>3.7728495377413793</v>
      </c>
      <c r="O74" t="s">
        <v>39</v>
      </c>
      <c r="P74" s="13">
        <f t="shared" si="33"/>
        <v>103.65633410457848</v>
      </c>
      <c r="Q74" t="s">
        <v>61</v>
      </c>
      <c r="R74" s="13">
        <f t="shared" si="34"/>
        <v>2</v>
      </c>
      <c r="S74" s="12">
        <f t="shared" si="35"/>
        <v>8.9656334104578477</v>
      </c>
      <c r="U74" s="19">
        <f t="shared" si="36"/>
        <v>10.965633410457848</v>
      </c>
      <c r="V74" t="s">
        <v>39</v>
      </c>
      <c r="W74" s="13">
        <f t="shared" si="37"/>
        <v>150.16402898164392</v>
      </c>
      <c r="X74" t="s">
        <v>61</v>
      </c>
      <c r="Y74" s="13">
        <f t="shared" si="38"/>
        <v>2</v>
      </c>
      <c r="Z74" s="12">
        <f t="shared" si="39"/>
        <v>16.89550362270549</v>
      </c>
      <c r="AB74" s="19">
        <f t="shared" si="40"/>
        <v>18.89550362270549</v>
      </c>
      <c r="AC74" t="s">
        <v>39</v>
      </c>
      <c r="AD74" s="14">
        <f t="shared" si="41"/>
        <v>0.3</v>
      </c>
      <c r="AE74" t="str">
        <f t="shared" si="42"/>
        <v>OUT</v>
      </c>
      <c r="AF74" s="14">
        <f t="shared" si="43"/>
        <v>-1.2170000000000001</v>
      </c>
      <c r="AG74" t="str">
        <f t="shared" si="44"/>
        <v>DOUBLE</v>
      </c>
      <c r="AH74" s="14">
        <f t="shared" si="45"/>
        <v>-1.2170000000000001</v>
      </c>
      <c r="AI74" t="str">
        <f t="shared" si="46"/>
        <v>DOUBLE</v>
      </c>
      <c r="AJ74" s="34">
        <f t="shared" ca="1" si="47"/>
        <v>667</v>
      </c>
      <c r="AK74">
        <f t="shared" ca="1" si="48"/>
        <v>0.5</v>
      </c>
      <c r="AL74" s="18">
        <f t="shared" ca="1" si="49"/>
        <v>0.15</v>
      </c>
      <c r="AM74" s="22" t="str">
        <f t="shared" ca="1" si="50"/>
        <v>OUT</v>
      </c>
      <c r="AN74" t="str">
        <f t="shared" ca="1" si="51"/>
        <v/>
      </c>
      <c r="AO74" t="str">
        <f t="shared" ca="1" si="52"/>
        <v/>
      </c>
      <c r="AP74">
        <f t="shared" ca="1" si="53"/>
        <v>200.16</v>
      </c>
      <c r="AQ74">
        <f t="shared" ca="1" si="54"/>
        <v>101.1</v>
      </c>
      <c r="AR74" t="str">
        <f t="shared" ca="1" si="55"/>
        <v/>
      </c>
      <c r="AS74" t="str">
        <f t="shared" ca="1" si="56"/>
        <v/>
      </c>
    </row>
    <row r="75" spans="1:45" x14ac:dyDescent="0.25">
      <c r="A75" s="1">
        <v>44071</v>
      </c>
      <c r="B75">
        <v>260</v>
      </c>
      <c r="C75">
        <v>9</v>
      </c>
      <c r="D75" t="s">
        <v>18</v>
      </c>
      <c r="E75">
        <v>204.23</v>
      </c>
      <c r="F75">
        <v>99.52</v>
      </c>
      <c r="G75" s="31">
        <f>HT!L29</f>
        <v>2.6628290430047685</v>
      </c>
      <c r="I75" s="13">
        <f t="shared" si="29"/>
        <v>31.114679815161193</v>
      </c>
      <c r="J75" t="s">
        <v>61</v>
      </c>
      <c r="K75" s="13">
        <f t="shared" si="30"/>
        <v>2</v>
      </c>
      <c r="L75" s="12">
        <f t="shared" si="31"/>
        <v>2.0143349768951491</v>
      </c>
      <c r="N75" s="19">
        <f t="shared" si="32"/>
        <v>4.0143349768951495</v>
      </c>
      <c r="O75" t="s">
        <v>39</v>
      </c>
      <c r="P75" s="13">
        <f t="shared" si="33"/>
        <v>106.81022095286572</v>
      </c>
      <c r="Q75" t="s">
        <v>61</v>
      </c>
      <c r="R75" s="13">
        <f t="shared" si="34"/>
        <v>2</v>
      </c>
      <c r="S75" s="12">
        <f t="shared" si="35"/>
        <v>9.2810220952865716</v>
      </c>
      <c r="U75" s="19">
        <f t="shared" si="36"/>
        <v>11.281022095286572</v>
      </c>
      <c r="V75" t="s">
        <v>39</v>
      </c>
      <c r="W75" s="13">
        <f t="shared" si="37"/>
        <v>154.23074693458497</v>
      </c>
      <c r="X75" t="s">
        <v>61</v>
      </c>
      <c r="Y75" s="13">
        <f t="shared" si="38"/>
        <v>2</v>
      </c>
      <c r="Z75" s="12">
        <f t="shared" si="39"/>
        <v>17.403843366823121</v>
      </c>
      <c r="AB75" s="19">
        <f t="shared" si="40"/>
        <v>19.403843366823121</v>
      </c>
      <c r="AC75" t="s">
        <v>39</v>
      </c>
      <c r="AD75" s="14">
        <f t="shared" si="41"/>
        <v>-0.87</v>
      </c>
      <c r="AE75" t="str">
        <f t="shared" si="42"/>
        <v>SINGLE</v>
      </c>
      <c r="AF75" s="14">
        <f t="shared" si="43"/>
        <v>-1.2170000000000001</v>
      </c>
      <c r="AG75" t="str">
        <f t="shared" si="44"/>
        <v>DOUBLE</v>
      </c>
      <c r="AH75" s="14">
        <f t="shared" si="45"/>
        <v>-1.2170000000000001</v>
      </c>
      <c r="AI75" t="str">
        <f t="shared" si="46"/>
        <v>DOUBLE</v>
      </c>
      <c r="AJ75" s="34">
        <f t="shared" ca="1" si="47"/>
        <v>296</v>
      </c>
      <c r="AK75">
        <f t="shared" ca="1" si="48"/>
        <v>0.7</v>
      </c>
      <c r="AL75" s="18">
        <f t="shared" ca="1" si="49"/>
        <v>-0.60899999999999999</v>
      </c>
      <c r="AM75" s="22" t="str">
        <f t="shared" ca="1" si="50"/>
        <v>SINGLE</v>
      </c>
      <c r="AN75">
        <f t="shared" ca="1" si="51"/>
        <v>204.23</v>
      </c>
      <c r="AO75">
        <f t="shared" ca="1" si="52"/>
        <v>99.52</v>
      </c>
      <c r="AP75" t="str">
        <f t="shared" ca="1" si="53"/>
        <v/>
      </c>
      <c r="AQ75" t="str">
        <f t="shared" ca="1" si="54"/>
        <v/>
      </c>
      <c r="AR75" t="str">
        <f t="shared" ca="1" si="55"/>
        <v/>
      </c>
      <c r="AS75" t="str">
        <f t="shared" ca="1" si="56"/>
        <v/>
      </c>
    </row>
    <row r="76" spans="1:45" x14ac:dyDescent="0.25">
      <c r="A76" s="1">
        <v>43673</v>
      </c>
      <c r="B76">
        <v>347</v>
      </c>
      <c r="C76">
        <v>9</v>
      </c>
      <c r="D76" t="s">
        <v>13</v>
      </c>
      <c r="E76">
        <v>205.12</v>
      </c>
      <c r="F76">
        <v>74.349999999999994</v>
      </c>
      <c r="G76" s="31">
        <f>HT!L79</f>
        <v>6.8763988628226107</v>
      </c>
      <c r="I76" s="13">
        <f t="shared" ref="I76:I91" si="57">SQRT(($G$2-E76)^2+($I$2-F76)^2)</f>
        <v>25.747561049544096</v>
      </c>
      <c r="J76" t="s">
        <v>61</v>
      </c>
      <c r="K76" s="13">
        <f t="shared" ref="K76:K91" si="58">MIN($R$2,I76/$L$2)</f>
        <v>2</v>
      </c>
      <c r="L76" s="12">
        <f t="shared" ref="L76:L91" si="59">(MAX(0,I76-($U$2)))/$O$2</f>
        <v>1.343445131193012</v>
      </c>
      <c r="N76" s="19">
        <f t="shared" ref="N76:N91" si="60">K76+L76</f>
        <v>3.343445131193012</v>
      </c>
      <c r="O76" t="s">
        <v>39</v>
      </c>
      <c r="P76" s="13">
        <f t="shared" ref="P76:P91" si="61">SQRT(($G$3-E76)^2+($I$3-F76)^2)</f>
        <v>101.14315053427988</v>
      </c>
      <c r="Q76" t="s">
        <v>61</v>
      </c>
      <c r="R76" s="13">
        <f t="shared" ref="R76:R91" si="62">MIN($R$3,P76/$L$3)</f>
        <v>2</v>
      </c>
      <c r="S76" s="12">
        <f t="shared" ref="S76:S91" si="63">(MAX(0,P76-($U$3)))/$O$3</f>
        <v>8.7143150534279883</v>
      </c>
      <c r="U76" s="19">
        <f t="shared" ref="U76:U91" si="64">R76+S76</f>
        <v>10.714315053427988</v>
      </c>
      <c r="V76" t="s">
        <v>39</v>
      </c>
      <c r="W76" s="13">
        <f t="shared" ref="W76:W91" si="65">SQRT(($G$4-E76)^2+($I$4-F76)^2)</f>
        <v>157.22638741636214</v>
      </c>
      <c r="X76" t="s">
        <v>61</v>
      </c>
      <c r="Y76" s="13">
        <f t="shared" ref="Y76:Y91" si="66">MIN($R$4,W76/$L$4)</f>
        <v>2</v>
      </c>
      <c r="Z76" s="12">
        <f t="shared" ref="Z76:Z91" si="67">(MAX(0,W76-($U$4)))/$O$4</f>
        <v>17.778298427045268</v>
      </c>
      <c r="AB76" s="19">
        <f t="shared" ref="AB76:AB91" si="68">Y76+Z76</f>
        <v>19.778298427045268</v>
      </c>
      <c r="AC76" t="s">
        <v>39</v>
      </c>
      <c r="AD76" s="14">
        <f t="shared" ref="AD76:AD91" si="69">IF(N76&lt;=G76,$L$7,IF(AND(N76&gt;G76,N76&lt;=G76+$H$7,F76&gt;=$I$2),$M$7,$N$7))</f>
        <v>0.3</v>
      </c>
      <c r="AE76" t="str">
        <f t="shared" ref="AE76:AE107" si="70">IF(AD76=$L$7,"OUT",IF(AD76=$M$7,"SINGLE",IF(AD76=$N$7,"DOUBLE")))</f>
        <v>OUT</v>
      </c>
      <c r="AF76" s="14">
        <f t="shared" ref="AF76:AF91" si="71">IF(U76&lt;=G76,$L$7,IF(AND(U76&gt;G76,U76&lt;=G76+$H$7,F76&gt;=$I$3),$M$7,$N$7))</f>
        <v>-1.2170000000000001</v>
      </c>
      <c r="AG76" t="str">
        <f t="shared" ref="AG76:AG107" si="72">IF(AF76=$L$7,"OUT",IF(AF76=$M$7,"SINGLE",IF(AF76=$N$7,"DOUBLE")))</f>
        <v>DOUBLE</v>
      </c>
      <c r="AH76" s="14">
        <f t="shared" ref="AH76:AH91" si="73">IF(AB76&lt;=G76,$L$7,IF(AND(AB76&gt;G76,AB76&lt;=G76+$H$7,F76&gt;=$I$4),$M$7,$N$7))</f>
        <v>-1.2170000000000001</v>
      </c>
      <c r="AI76" t="str">
        <f t="shared" ref="AI76:AI107" si="74">IF(AH76=$L$7,"OUT",IF(AH76=$M$7,"SINGLE",IF(AH76=$N$7,"DOUBLE")))</f>
        <v>DOUBLE</v>
      </c>
      <c r="AJ76" s="34">
        <f t="shared" ref="AJ76:AJ91" ca="1" si="75">_xlfn.DAYS(TODAY(),A76)</f>
        <v>694</v>
      </c>
      <c r="AK76">
        <f t="shared" ref="AK76:AK107" ca="1" si="76">IF(AJ76&lt;$AD$7,$AD$6,IF(AND(AJ76&gt;$AD$7,AJ76&lt;=$AE$7),$AE$6,IF(AND(AJ76&gt;$AE$7,AJ76&lt;=$AF$7),$AF$6,$AG$6)))</f>
        <v>0.5</v>
      </c>
      <c r="AL76" s="18">
        <f t="shared" ref="AL76:AL107" ca="1" si="77">AK76*MAX(AD76,AF76,AH76)</f>
        <v>0.15</v>
      </c>
      <c r="AM76" s="22" t="str">
        <f t="shared" ref="AM76:AM107" ca="1" si="78">IF(AL76=AK76*$L$7,"OUT",IF(AL76=AK76*$M$7,"SINGLE","DOUBLE"))</f>
        <v>OUT</v>
      </c>
      <c r="AN76" t="str">
        <f t="shared" ref="AN76:AN91" ca="1" si="79">IF($AM76="SINGLE",$E76,"")</f>
        <v/>
      </c>
      <c r="AO76" t="str">
        <f t="shared" ref="AO76:AO91" ca="1" si="80">IF($AM76="SINGLE",$F76,"")</f>
        <v/>
      </c>
      <c r="AP76">
        <f t="shared" ref="AP76:AP91" ca="1" si="81">IF($AM76="OUT",$E76,"")</f>
        <v>205.12</v>
      </c>
      <c r="AQ76">
        <f t="shared" ref="AQ76:AQ91" ca="1" si="82">IF($AM76="OUT",$F76,"")</f>
        <v>74.349999999999994</v>
      </c>
      <c r="AR76" t="str">
        <f t="shared" ref="AR76:AR91" ca="1" si="83">IF($AM76="DOUBLE",$E76,"")</f>
        <v/>
      </c>
      <c r="AS76" t="str">
        <f t="shared" ref="AS76:AS91" ca="1" si="84">IF($AM76="DOUBLE",$F76,"")</f>
        <v/>
      </c>
    </row>
    <row r="77" spans="1:45" x14ac:dyDescent="0.25">
      <c r="A77" s="1">
        <v>43624</v>
      </c>
      <c r="B77">
        <v>245</v>
      </c>
      <c r="C77">
        <v>9</v>
      </c>
      <c r="D77" t="s">
        <v>22</v>
      </c>
      <c r="E77">
        <v>207.43</v>
      </c>
      <c r="F77">
        <v>103.5</v>
      </c>
      <c r="G77" s="31">
        <f>HT!L55</f>
        <v>2.9328327442014239</v>
      </c>
      <c r="I77" s="13">
        <f t="shared" si="57"/>
        <v>36.120006921372543</v>
      </c>
      <c r="J77" t="s">
        <v>61</v>
      </c>
      <c r="K77" s="13">
        <f t="shared" si="58"/>
        <v>2</v>
      </c>
      <c r="L77" s="12">
        <f t="shared" si="59"/>
        <v>2.6400008651715678</v>
      </c>
      <c r="N77" s="19">
        <f t="shared" si="60"/>
        <v>4.6400008651715678</v>
      </c>
      <c r="O77" t="s">
        <v>39</v>
      </c>
      <c r="P77" s="13">
        <f t="shared" si="61"/>
        <v>111.28411791446254</v>
      </c>
      <c r="Q77" t="s">
        <v>61</v>
      </c>
      <c r="R77" s="13">
        <f t="shared" si="62"/>
        <v>2</v>
      </c>
      <c r="S77" s="12">
        <f t="shared" si="63"/>
        <v>9.7284117914462538</v>
      </c>
      <c r="U77" s="19">
        <f t="shared" si="64"/>
        <v>11.728411791446254</v>
      </c>
      <c r="V77" t="s">
        <v>39</v>
      </c>
      <c r="W77" s="13">
        <f t="shared" si="65"/>
        <v>157.46890137420786</v>
      </c>
      <c r="X77" t="s">
        <v>61</v>
      </c>
      <c r="Y77" s="13">
        <f t="shared" si="66"/>
        <v>2</v>
      </c>
      <c r="Z77" s="12">
        <f t="shared" si="67"/>
        <v>17.808612671775983</v>
      </c>
      <c r="AB77" s="19">
        <f t="shared" si="68"/>
        <v>19.808612671775983</v>
      </c>
      <c r="AC77" t="s">
        <v>39</v>
      </c>
      <c r="AD77" s="14">
        <f t="shared" si="69"/>
        <v>-0.87</v>
      </c>
      <c r="AE77" t="str">
        <f t="shared" si="70"/>
        <v>SINGLE</v>
      </c>
      <c r="AF77" s="14">
        <f t="shared" si="71"/>
        <v>-1.2170000000000001</v>
      </c>
      <c r="AG77" t="str">
        <f t="shared" si="72"/>
        <v>DOUBLE</v>
      </c>
      <c r="AH77" s="14">
        <f t="shared" si="73"/>
        <v>-1.2170000000000001</v>
      </c>
      <c r="AI77" t="str">
        <f t="shared" si="74"/>
        <v>DOUBLE</v>
      </c>
      <c r="AJ77" s="34">
        <f t="shared" ca="1" si="75"/>
        <v>743</v>
      </c>
      <c r="AK77">
        <f t="shared" ca="1" si="76"/>
        <v>0.3</v>
      </c>
      <c r="AL77" s="18">
        <f t="shared" ca="1" si="77"/>
        <v>-0.26100000000000001</v>
      </c>
      <c r="AM77" s="22" t="str">
        <f t="shared" ca="1" si="78"/>
        <v>SINGLE</v>
      </c>
      <c r="AN77">
        <f t="shared" ca="1" si="79"/>
        <v>207.43</v>
      </c>
      <c r="AO77">
        <f t="shared" ca="1" si="80"/>
        <v>103.5</v>
      </c>
      <c r="AP77" t="str">
        <f t="shared" ca="1" si="81"/>
        <v/>
      </c>
      <c r="AQ77" t="str">
        <f t="shared" ca="1" si="82"/>
        <v/>
      </c>
      <c r="AR77" t="str">
        <f t="shared" ca="1" si="83"/>
        <v/>
      </c>
      <c r="AS77" t="str">
        <f t="shared" ca="1" si="84"/>
        <v/>
      </c>
    </row>
    <row r="78" spans="1:45" x14ac:dyDescent="0.25">
      <c r="A78" s="1">
        <v>43630</v>
      </c>
      <c r="B78">
        <v>230</v>
      </c>
      <c r="C78">
        <v>7</v>
      </c>
      <c r="D78" t="s">
        <v>22</v>
      </c>
      <c r="E78">
        <v>60.9</v>
      </c>
      <c r="F78">
        <v>126.81</v>
      </c>
      <c r="G78" s="31">
        <f>HT!L81</f>
        <v>2.2516066419187406</v>
      </c>
      <c r="I78" s="13">
        <f t="shared" si="57"/>
        <v>127.96869187422368</v>
      </c>
      <c r="J78" t="s">
        <v>61</v>
      </c>
      <c r="K78" s="13">
        <f t="shared" si="58"/>
        <v>2</v>
      </c>
      <c r="L78" s="12">
        <f t="shared" si="59"/>
        <v>14.12108648427796</v>
      </c>
      <c r="N78" s="19">
        <f t="shared" si="60"/>
        <v>16.12108648427796</v>
      </c>
      <c r="O78" t="s">
        <v>39</v>
      </c>
      <c r="P78" s="13">
        <f t="shared" si="61"/>
        <v>80.052395966641754</v>
      </c>
      <c r="Q78" t="s">
        <v>61</v>
      </c>
      <c r="R78" s="13">
        <f t="shared" si="62"/>
        <v>2</v>
      </c>
      <c r="S78" s="12">
        <f t="shared" si="63"/>
        <v>6.605239596664175</v>
      </c>
      <c r="U78" s="19">
        <f t="shared" si="64"/>
        <v>8.605239596664175</v>
      </c>
      <c r="V78" t="s">
        <v>39</v>
      </c>
      <c r="W78" s="13">
        <f t="shared" si="65"/>
        <v>28.94107980017332</v>
      </c>
      <c r="X78" t="s">
        <v>61</v>
      </c>
      <c r="Y78" s="13">
        <f t="shared" si="66"/>
        <v>2</v>
      </c>
      <c r="Z78" s="12">
        <f t="shared" si="67"/>
        <v>1.742634975021665</v>
      </c>
      <c r="AB78" s="19">
        <f t="shared" si="68"/>
        <v>3.742634975021665</v>
      </c>
      <c r="AC78" t="s">
        <v>39</v>
      </c>
      <c r="AD78" s="14">
        <f t="shared" si="69"/>
        <v>-1.2170000000000001</v>
      </c>
      <c r="AE78" t="str">
        <f t="shared" si="70"/>
        <v>DOUBLE</v>
      </c>
      <c r="AF78" s="14">
        <f t="shared" si="71"/>
        <v>-1.2170000000000001</v>
      </c>
      <c r="AG78" t="str">
        <f t="shared" si="72"/>
        <v>DOUBLE</v>
      </c>
      <c r="AH78" s="14">
        <f t="shared" si="73"/>
        <v>-0.87</v>
      </c>
      <c r="AI78" t="str">
        <f t="shared" si="74"/>
        <v>SINGLE</v>
      </c>
      <c r="AJ78" s="34">
        <f t="shared" ca="1" si="75"/>
        <v>737</v>
      </c>
      <c r="AK78">
        <f t="shared" ca="1" si="76"/>
        <v>0.3</v>
      </c>
      <c r="AL78" s="18">
        <f t="shared" ca="1" si="77"/>
        <v>-0.26100000000000001</v>
      </c>
      <c r="AM78" s="22" t="str">
        <f t="shared" ca="1" si="78"/>
        <v>SINGLE</v>
      </c>
      <c r="AN78">
        <f t="shared" ca="1" si="79"/>
        <v>60.9</v>
      </c>
      <c r="AO78">
        <f t="shared" ca="1" si="80"/>
        <v>126.81</v>
      </c>
      <c r="AP78" t="str">
        <f t="shared" ca="1" si="81"/>
        <v/>
      </c>
      <c r="AQ78" t="str">
        <f t="shared" ca="1" si="82"/>
        <v/>
      </c>
      <c r="AR78" t="str">
        <f t="shared" ca="1" si="83"/>
        <v/>
      </c>
      <c r="AS78" t="str">
        <f t="shared" ca="1" si="84"/>
        <v/>
      </c>
    </row>
    <row r="79" spans="1:45" x14ac:dyDescent="0.25">
      <c r="A79" s="1">
        <v>44314</v>
      </c>
      <c r="B79">
        <v>208</v>
      </c>
      <c r="C79">
        <v>7</v>
      </c>
      <c r="D79" t="s">
        <v>18</v>
      </c>
      <c r="E79">
        <v>78.400000000000006</v>
      </c>
      <c r="F79">
        <v>131.11000000000001</v>
      </c>
      <c r="G79" s="31">
        <f>HT!L9</f>
        <v>1.7182699476860528</v>
      </c>
      <c r="I79" s="13">
        <f t="shared" si="57"/>
        <v>113.73122746194204</v>
      </c>
      <c r="J79" t="s">
        <v>61</v>
      </c>
      <c r="K79" s="13">
        <f t="shared" si="58"/>
        <v>2</v>
      </c>
      <c r="L79" s="12">
        <f t="shared" si="59"/>
        <v>12.341403432742755</v>
      </c>
      <c r="N79" s="19">
        <f t="shared" si="60"/>
        <v>14.341403432742755</v>
      </c>
      <c r="O79" t="s">
        <v>39</v>
      </c>
      <c r="P79" s="13">
        <f t="shared" si="61"/>
        <v>75.92227670453515</v>
      </c>
      <c r="Q79" t="s">
        <v>61</v>
      </c>
      <c r="R79" s="13">
        <f t="shared" si="62"/>
        <v>2</v>
      </c>
      <c r="S79" s="12">
        <f t="shared" si="63"/>
        <v>6.1922276704535149</v>
      </c>
      <c r="U79" s="19">
        <f t="shared" si="64"/>
        <v>8.1922276704535157</v>
      </c>
      <c r="V79" t="s">
        <v>39</v>
      </c>
      <c r="W79" s="13">
        <f t="shared" si="65"/>
        <v>42.12353380237704</v>
      </c>
      <c r="X79" t="s">
        <v>61</v>
      </c>
      <c r="Y79" s="13">
        <f t="shared" si="66"/>
        <v>2</v>
      </c>
      <c r="Z79" s="12">
        <f t="shared" si="67"/>
        <v>3.3904417252971299</v>
      </c>
      <c r="AB79" s="19">
        <f t="shared" si="68"/>
        <v>5.3904417252971299</v>
      </c>
      <c r="AC79" t="s">
        <v>39</v>
      </c>
      <c r="AD79" s="14">
        <f t="shared" si="69"/>
        <v>-1.2170000000000001</v>
      </c>
      <c r="AE79" t="str">
        <f t="shared" si="70"/>
        <v>DOUBLE</v>
      </c>
      <c r="AF79" s="14">
        <f t="shared" si="71"/>
        <v>-1.2170000000000001</v>
      </c>
      <c r="AG79" t="str">
        <f t="shared" si="72"/>
        <v>DOUBLE</v>
      </c>
      <c r="AH79" s="14">
        <f t="shared" si="73"/>
        <v>-1.2170000000000001</v>
      </c>
      <c r="AI79" t="str">
        <f t="shared" si="74"/>
        <v>DOUBLE</v>
      </c>
      <c r="AJ79" s="34">
        <f t="shared" ca="1" si="75"/>
        <v>53</v>
      </c>
      <c r="AK79">
        <f t="shared" ca="1" si="76"/>
        <v>1</v>
      </c>
      <c r="AL79" s="18">
        <f t="shared" ca="1" si="77"/>
        <v>-1.2170000000000001</v>
      </c>
      <c r="AM79" s="22" t="str">
        <f t="shared" ca="1" si="78"/>
        <v>DOUBLE</v>
      </c>
      <c r="AN79" t="str">
        <f t="shared" ca="1" si="79"/>
        <v/>
      </c>
      <c r="AO79" t="str">
        <f t="shared" ca="1" si="80"/>
        <v/>
      </c>
      <c r="AP79" t="str">
        <f t="shared" ca="1" si="81"/>
        <v/>
      </c>
      <c r="AQ79" t="str">
        <f t="shared" ca="1" si="82"/>
        <v/>
      </c>
      <c r="AR79">
        <f t="shared" ca="1" si="83"/>
        <v>78.400000000000006</v>
      </c>
      <c r="AS79">
        <f t="shared" ca="1" si="84"/>
        <v>131.11000000000001</v>
      </c>
    </row>
    <row r="80" spans="1:45" x14ac:dyDescent="0.25">
      <c r="A80" s="1">
        <v>43658</v>
      </c>
      <c r="B80">
        <v>137</v>
      </c>
      <c r="C80">
        <v>7</v>
      </c>
      <c r="D80" t="s">
        <v>18</v>
      </c>
      <c r="E80">
        <v>86.66</v>
      </c>
      <c r="F80">
        <v>138.94</v>
      </c>
      <c r="G80" s="31">
        <f>HT!L53</f>
        <v>2.6345683149183614</v>
      </c>
      <c r="I80" s="13">
        <f t="shared" si="57"/>
        <v>110.39148155541713</v>
      </c>
      <c r="J80" t="s">
        <v>61</v>
      </c>
      <c r="K80" s="13">
        <f t="shared" si="58"/>
        <v>2</v>
      </c>
      <c r="L80" s="12">
        <f t="shared" si="59"/>
        <v>11.923935194427141</v>
      </c>
      <c r="N80" s="19">
        <f t="shared" si="60"/>
        <v>13.923935194427141</v>
      </c>
      <c r="O80" t="s">
        <v>39</v>
      </c>
      <c r="P80" s="13">
        <f t="shared" si="61"/>
        <v>81.042453072448396</v>
      </c>
      <c r="Q80" t="s">
        <v>61</v>
      </c>
      <c r="R80" s="13">
        <f t="shared" si="62"/>
        <v>2</v>
      </c>
      <c r="S80" s="12">
        <f t="shared" si="63"/>
        <v>6.7042453072448396</v>
      </c>
      <c r="U80" s="19">
        <f t="shared" si="64"/>
        <v>8.7042453072448396</v>
      </c>
      <c r="V80" t="s">
        <v>39</v>
      </c>
      <c r="W80" s="13">
        <f t="shared" si="65"/>
        <v>53.481578136775276</v>
      </c>
      <c r="X80" t="s">
        <v>61</v>
      </c>
      <c r="Y80" s="13">
        <f t="shared" si="66"/>
        <v>2</v>
      </c>
      <c r="Z80" s="12">
        <f t="shared" si="67"/>
        <v>4.8101972670969095</v>
      </c>
      <c r="AB80" s="19">
        <f t="shared" si="68"/>
        <v>6.8101972670969095</v>
      </c>
      <c r="AC80" t="s">
        <v>39</v>
      </c>
      <c r="AD80" s="14">
        <f t="shared" si="69"/>
        <v>-1.2170000000000001</v>
      </c>
      <c r="AE80" t="str">
        <f t="shared" si="70"/>
        <v>DOUBLE</v>
      </c>
      <c r="AF80" s="14">
        <f t="shared" si="71"/>
        <v>-1.2170000000000001</v>
      </c>
      <c r="AG80" t="str">
        <f t="shared" si="72"/>
        <v>DOUBLE</v>
      </c>
      <c r="AH80" s="14">
        <f t="shared" si="73"/>
        <v>-1.2170000000000001</v>
      </c>
      <c r="AI80" t="str">
        <f t="shared" si="74"/>
        <v>DOUBLE</v>
      </c>
      <c r="AJ80" s="34">
        <f t="shared" ca="1" si="75"/>
        <v>709</v>
      </c>
      <c r="AK80">
        <f t="shared" ca="1" si="76"/>
        <v>0.5</v>
      </c>
      <c r="AL80" s="18">
        <f t="shared" ca="1" si="77"/>
        <v>-0.60850000000000004</v>
      </c>
      <c r="AM80" s="22" t="str">
        <f t="shared" ca="1" si="78"/>
        <v>DOUBLE</v>
      </c>
      <c r="AN80" t="str">
        <f t="shared" ca="1" si="79"/>
        <v/>
      </c>
      <c r="AO80" t="str">
        <f t="shared" ca="1" si="80"/>
        <v/>
      </c>
      <c r="AP80" t="str">
        <f t="shared" ca="1" si="81"/>
        <v/>
      </c>
      <c r="AQ80" t="str">
        <f t="shared" ca="1" si="82"/>
        <v/>
      </c>
      <c r="AR80">
        <f t="shared" ca="1" si="83"/>
        <v>86.66</v>
      </c>
      <c r="AS80">
        <f t="shared" ca="1" si="84"/>
        <v>138.94</v>
      </c>
    </row>
    <row r="81" spans="1:45" x14ac:dyDescent="0.25">
      <c r="A81" s="1">
        <v>44053</v>
      </c>
      <c r="B81">
        <v>348</v>
      </c>
      <c r="C81">
        <v>7</v>
      </c>
      <c r="D81" t="s">
        <v>13</v>
      </c>
      <c r="E81">
        <v>90.78</v>
      </c>
      <c r="F81">
        <v>56.04</v>
      </c>
      <c r="G81" s="31">
        <f>HT!L69</f>
        <v>3.8135065948546703</v>
      </c>
      <c r="I81" s="13">
        <f t="shared" si="57"/>
        <v>92.381221035446373</v>
      </c>
      <c r="J81" t="s">
        <v>61</v>
      </c>
      <c r="K81" s="13">
        <f t="shared" si="58"/>
        <v>2</v>
      </c>
      <c r="L81" s="12">
        <f t="shared" si="59"/>
        <v>9.6726526294307966</v>
      </c>
      <c r="N81" s="19">
        <f t="shared" si="60"/>
        <v>11.672652629430797</v>
      </c>
      <c r="O81" t="s">
        <v>39</v>
      </c>
      <c r="P81" s="13">
        <f t="shared" si="61"/>
        <v>14.761097520171051</v>
      </c>
      <c r="Q81" t="s">
        <v>61</v>
      </c>
      <c r="R81" s="13">
        <f t="shared" si="62"/>
        <v>2</v>
      </c>
      <c r="S81" s="12">
        <f t="shared" si="63"/>
        <v>7.6109752017105056E-2</v>
      </c>
      <c r="U81" s="19">
        <f t="shared" si="64"/>
        <v>2.0761097520171052</v>
      </c>
      <c r="V81" t="s">
        <v>39</v>
      </c>
      <c r="W81" s="13">
        <f t="shared" si="65"/>
        <v>59.962404888396534</v>
      </c>
      <c r="X81" t="s">
        <v>61</v>
      </c>
      <c r="Y81" s="13">
        <f t="shared" si="66"/>
        <v>2</v>
      </c>
      <c r="Z81" s="12">
        <f t="shared" si="67"/>
        <v>5.6203006110495668</v>
      </c>
      <c r="AB81" s="19">
        <f t="shared" si="68"/>
        <v>7.6203006110495668</v>
      </c>
      <c r="AC81" t="s">
        <v>39</v>
      </c>
      <c r="AD81" s="14">
        <f t="shared" si="69"/>
        <v>-1.2170000000000001</v>
      </c>
      <c r="AE81" t="str">
        <f t="shared" si="70"/>
        <v>DOUBLE</v>
      </c>
      <c r="AF81" s="14">
        <f t="shared" si="71"/>
        <v>0.3</v>
      </c>
      <c r="AG81" t="str">
        <f t="shared" si="72"/>
        <v>OUT</v>
      </c>
      <c r="AH81" s="14">
        <f t="shared" si="73"/>
        <v>-1.2170000000000001</v>
      </c>
      <c r="AI81" t="str">
        <f t="shared" si="74"/>
        <v>DOUBLE</v>
      </c>
      <c r="AJ81" s="34">
        <f t="shared" ca="1" si="75"/>
        <v>314</v>
      </c>
      <c r="AK81">
        <f t="shared" ca="1" si="76"/>
        <v>0.7</v>
      </c>
      <c r="AL81" s="18">
        <f t="shared" ca="1" si="77"/>
        <v>0.21</v>
      </c>
      <c r="AM81" s="22" t="str">
        <f t="shared" ca="1" si="78"/>
        <v>OUT</v>
      </c>
      <c r="AN81" t="str">
        <f t="shared" ca="1" si="79"/>
        <v/>
      </c>
      <c r="AO81" t="str">
        <f t="shared" ca="1" si="80"/>
        <v/>
      </c>
      <c r="AP81">
        <f t="shared" ca="1" si="81"/>
        <v>90.78</v>
      </c>
      <c r="AQ81">
        <f t="shared" ca="1" si="82"/>
        <v>56.04</v>
      </c>
      <c r="AR81" t="str">
        <f t="shared" ca="1" si="83"/>
        <v/>
      </c>
      <c r="AS81" t="str">
        <f t="shared" ca="1" si="84"/>
        <v/>
      </c>
    </row>
    <row r="82" spans="1:45" x14ac:dyDescent="0.25">
      <c r="A82" s="1">
        <v>43613</v>
      </c>
      <c r="B82">
        <v>278</v>
      </c>
      <c r="C82">
        <v>8</v>
      </c>
      <c r="D82" t="s">
        <v>18</v>
      </c>
      <c r="E82">
        <v>100.41</v>
      </c>
      <c r="F82">
        <v>84.95</v>
      </c>
      <c r="G82" s="31">
        <f>HT!L57</f>
        <v>2.3238430416897673</v>
      </c>
      <c r="I82" s="13">
        <f t="shared" si="57"/>
        <v>79.74378094873606</v>
      </c>
      <c r="J82" t="s">
        <v>61</v>
      </c>
      <c r="K82" s="13">
        <f t="shared" si="58"/>
        <v>2</v>
      </c>
      <c r="L82" s="12">
        <f t="shared" si="59"/>
        <v>8.0929726185920074</v>
      </c>
      <c r="N82" s="19">
        <f t="shared" si="60"/>
        <v>10.092972618592007</v>
      </c>
      <c r="O82" t="s">
        <v>39</v>
      </c>
      <c r="P82" s="13">
        <f t="shared" si="61"/>
        <v>25.368693304937885</v>
      </c>
      <c r="Q82" t="s">
        <v>61</v>
      </c>
      <c r="R82" s="13">
        <f t="shared" si="62"/>
        <v>2</v>
      </c>
      <c r="S82" s="12">
        <f t="shared" si="63"/>
        <v>1.1368693304937885</v>
      </c>
      <c r="U82" s="19">
        <f t="shared" si="64"/>
        <v>3.1368693304937887</v>
      </c>
      <c r="V82" t="s">
        <v>39</v>
      </c>
      <c r="W82" s="13">
        <f t="shared" si="65"/>
        <v>52.608655181443289</v>
      </c>
      <c r="X82" t="s">
        <v>61</v>
      </c>
      <c r="Y82" s="13">
        <f t="shared" si="66"/>
        <v>2</v>
      </c>
      <c r="Z82" s="12">
        <f t="shared" si="67"/>
        <v>4.7010818976804112</v>
      </c>
      <c r="AB82" s="19">
        <f t="shared" si="68"/>
        <v>6.7010818976804112</v>
      </c>
      <c r="AC82" t="s">
        <v>39</v>
      </c>
      <c r="AD82" s="14">
        <f t="shared" si="69"/>
        <v>-1.2170000000000001</v>
      </c>
      <c r="AE82" t="str">
        <f t="shared" si="70"/>
        <v>DOUBLE</v>
      </c>
      <c r="AF82" s="14">
        <f t="shared" si="71"/>
        <v>-0.87</v>
      </c>
      <c r="AG82" t="str">
        <f t="shared" si="72"/>
        <v>SINGLE</v>
      </c>
      <c r="AH82" s="14">
        <f t="shared" si="73"/>
        <v>-1.2170000000000001</v>
      </c>
      <c r="AI82" t="str">
        <f t="shared" si="74"/>
        <v>DOUBLE</v>
      </c>
      <c r="AJ82" s="34">
        <f t="shared" ca="1" si="75"/>
        <v>754</v>
      </c>
      <c r="AK82">
        <f t="shared" ca="1" si="76"/>
        <v>0.3</v>
      </c>
      <c r="AL82" s="18">
        <f t="shared" ca="1" si="77"/>
        <v>-0.26100000000000001</v>
      </c>
      <c r="AM82" s="22" t="str">
        <f t="shared" ca="1" si="78"/>
        <v>SINGLE</v>
      </c>
      <c r="AN82">
        <f t="shared" ca="1" si="79"/>
        <v>100.41</v>
      </c>
      <c r="AO82">
        <f t="shared" ca="1" si="80"/>
        <v>84.95</v>
      </c>
      <c r="AP82" t="str">
        <f t="shared" ca="1" si="81"/>
        <v/>
      </c>
      <c r="AQ82" t="str">
        <f t="shared" ca="1" si="82"/>
        <v/>
      </c>
      <c r="AR82" t="str">
        <f t="shared" ca="1" si="83"/>
        <v/>
      </c>
      <c r="AS82" t="str">
        <f t="shared" ca="1" si="84"/>
        <v/>
      </c>
    </row>
    <row r="83" spans="1:45" x14ac:dyDescent="0.25">
      <c r="A83" s="1">
        <v>44293</v>
      </c>
      <c r="B83">
        <v>256</v>
      </c>
      <c r="C83">
        <v>8</v>
      </c>
      <c r="D83" t="s">
        <v>22</v>
      </c>
      <c r="E83">
        <v>101.17</v>
      </c>
      <c r="F83">
        <v>64.900000000000006</v>
      </c>
      <c r="G83" s="31">
        <f>HT!L20</f>
        <v>2.9234775378792923</v>
      </c>
      <c r="I83" s="13">
        <f t="shared" si="57"/>
        <v>80.263185209658857</v>
      </c>
      <c r="J83" t="s">
        <v>61</v>
      </c>
      <c r="K83" s="13">
        <f t="shared" si="58"/>
        <v>2</v>
      </c>
      <c r="L83" s="12">
        <f t="shared" si="59"/>
        <v>8.1578981512073572</v>
      </c>
      <c r="N83" s="19">
        <f t="shared" si="60"/>
        <v>10.157898151207357</v>
      </c>
      <c r="O83" t="s">
        <v>39</v>
      </c>
      <c r="P83" s="13">
        <f t="shared" si="61"/>
        <v>6.219236287519557</v>
      </c>
      <c r="Q83" t="s">
        <v>61</v>
      </c>
      <c r="R83" s="13">
        <f t="shared" si="62"/>
        <v>1.0365393812532595</v>
      </c>
      <c r="S83" s="12">
        <f t="shared" si="63"/>
        <v>0</v>
      </c>
      <c r="U83" s="19">
        <f t="shared" si="64"/>
        <v>1.0365393812532595</v>
      </c>
      <c r="V83" t="s">
        <v>39</v>
      </c>
      <c r="W83" s="13">
        <f t="shared" si="65"/>
        <v>62.051421418046502</v>
      </c>
      <c r="X83" t="s">
        <v>61</v>
      </c>
      <c r="Y83" s="13">
        <f t="shared" si="66"/>
        <v>2</v>
      </c>
      <c r="Z83" s="12">
        <f t="shared" si="67"/>
        <v>5.8814276772558127</v>
      </c>
      <c r="AB83" s="19">
        <f t="shared" si="68"/>
        <v>7.8814276772558127</v>
      </c>
      <c r="AC83" t="s">
        <v>39</v>
      </c>
      <c r="AD83" s="14">
        <f t="shared" si="69"/>
        <v>-1.2170000000000001</v>
      </c>
      <c r="AE83" t="str">
        <f t="shared" si="70"/>
        <v>DOUBLE</v>
      </c>
      <c r="AF83" s="14">
        <f t="shared" si="71"/>
        <v>0.3</v>
      </c>
      <c r="AG83" t="str">
        <f t="shared" si="72"/>
        <v>OUT</v>
      </c>
      <c r="AH83" s="14">
        <f t="shared" si="73"/>
        <v>-1.2170000000000001</v>
      </c>
      <c r="AI83" t="str">
        <f t="shared" si="74"/>
        <v>DOUBLE</v>
      </c>
      <c r="AJ83" s="34">
        <f t="shared" ca="1" si="75"/>
        <v>74</v>
      </c>
      <c r="AK83">
        <f t="shared" ca="1" si="76"/>
        <v>1</v>
      </c>
      <c r="AL83" s="18">
        <f t="shared" ca="1" si="77"/>
        <v>0.3</v>
      </c>
      <c r="AM83" s="22" t="str">
        <f t="shared" ca="1" si="78"/>
        <v>OUT</v>
      </c>
      <c r="AN83" t="str">
        <f t="shared" ca="1" si="79"/>
        <v/>
      </c>
      <c r="AO83" t="str">
        <f t="shared" ca="1" si="80"/>
        <v/>
      </c>
      <c r="AP83">
        <f t="shared" ca="1" si="81"/>
        <v>101.17</v>
      </c>
      <c r="AQ83">
        <f t="shared" ca="1" si="82"/>
        <v>64.900000000000006</v>
      </c>
      <c r="AR83" t="str">
        <f t="shared" ca="1" si="83"/>
        <v/>
      </c>
      <c r="AS83" t="str">
        <f t="shared" ca="1" si="84"/>
        <v/>
      </c>
    </row>
    <row r="84" spans="1:45" x14ac:dyDescent="0.25">
      <c r="A84" s="1">
        <v>43627</v>
      </c>
      <c r="B84">
        <v>363</v>
      </c>
      <c r="C84">
        <v>8</v>
      </c>
      <c r="D84" t="s">
        <v>13</v>
      </c>
      <c r="E84">
        <v>110.28</v>
      </c>
      <c r="F84">
        <v>46.18</v>
      </c>
      <c r="G84" s="31">
        <f>HT!L71</f>
        <v>3.8852042261292774</v>
      </c>
      <c r="I84" s="13">
        <f t="shared" si="57"/>
        <v>77.489810943116908</v>
      </c>
      <c r="J84" t="s">
        <v>61</v>
      </c>
      <c r="K84" s="13">
        <f t="shared" si="58"/>
        <v>2</v>
      </c>
      <c r="L84" s="12">
        <f t="shared" si="59"/>
        <v>7.8112263678896134</v>
      </c>
      <c r="N84" s="19">
        <f t="shared" si="60"/>
        <v>9.8112263678896134</v>
      </c>
      <c r="O84" t="s">
        <v>39</v>
      </c>
      <c r="P84" s="13">
        <f t="shared" si="61"/>
        <v>14.794282679467768</v>
      </c>
      <c r="Q84" t="s">
        <v>61</v>
      </c>
      <c r="R84" s="13">
        <f t="shared" si="62"/>
        <v>2</v>
      </c>
      <c r="S84" s="12">
        <f t="shared" si="63"/>
        <v>7.942826794677682E-2</v>
      </c>
      <c r="U84" s="19">
        <f t="shared" si="64"/>
        <v>2.0794282679467768</v>
      </c>
      <c r="V84" t="s">
        <v>39</v>
      </c>
      <c r="W84" s="13">
        <f t="shared" si="65"/>
        <v>80.810090954038657</v>
      </c>
      <c r="X84" t="s">
        <v>61</v>
      </c>
      <c r="Y84" s="13">
        <f t="shared" si="66"/>
        <v>2</v>
      </c>
      <c r="Z84" s="12">
        <f t="shared" si="67"/>
        <v>8.2262613692548321</v>
      </c>
      <c r="AB84" s="19">
        <f t="shared" si="68"/>
        <v>10.226261369254832</v>
      </c>
      <c r="AC84" t="s">
        <v>39</v>
      </c>
      <c r="AD84" s="14">
        <f t="shared" si="69"/>
        <v>-1.2170000000000001</v>
      </c>
      <c r="AE84" t="str">
        <f t="shared" si="70"/>
        <v>DOUBLE</v>
      </c>
      <c r="AF84" s="14">
        <f t="shared" si="71"/>
        <v>0.3</v>
      </c>
      <c r="AG84" t="str">
        <f t="shared" si="72"/>
        <v>OUT</v>
      </c>
      <c r="AH84" s="14">
        <f t="shared" si="73"/>
        <v>-1.2170000000000001</v>
      </c>
      <c r="AI84" t="str">
        <f t="shared" si="74"/>
        <v>DOUBLE</v>
      </c>
      <c r="AJ84" s="34">
        <f t="shared" ca="1" si="75"/>
        <v>740</v>
      </c>
      <c r="AK84">
        <f t="shared" ca="1" si="76"/>
        <v>0.3</v>
      </c>
      <c r="AL84" s="18">
        <f t="shared" ca="1" si="77"/>
        <v>0.09</v>
      </c>
      <c r="AM84" s="22" t="str">
        <f t="shared" ca="1" si="78"/>
        <v>OUT</v>
      </c>
      <c r="AN84" t="str">
        <f t="shared" ca="1" si="79"/>
        <v/>
      </c>
      <c r="AO84" t="str">
        <f t="shared" ca="1" si="80"/>
        <v/>
      </c>
      <c r="AP84">
        <f t="shared" ca="1" si="81"/>
        <v>110.28</v>
      </c>
      <c r="AQ84">
        <f t="shared" ca="1" si="82"/>
        <v>46.18</v>
      </c>
      <c r="AR84" t="str">
        <f t="shared" ca="1" si="83"/>
        <v/>
      </c>
      <c r="AS84" t="str">
        <f t="shared" ca="1" si="84"/>
        <v/>
      </c>
    </row>
    <row r="85" spans="1:45" x14ac:dyDescent="0.25">
      <c r="A85" s="1">
        <v>43709</v>
      </c>
      <c r="B85">
        <v>395</v>
      </c>
      <c r="C85">
        <v>8</v>
      </c>
      <c r="D85" t="s">
        <v>13</v>
      </c>
      <c r="E85">
        <v>129.71</v>
      </c>
      <c r="F85">
        <v>30.99</v>
      </c>
      <c r="G85" s="31">
        <f>HT!L49</f>
        <v>6.4977760521567163</v>
      </c>
      <c r="I85" s="13">
        <f t="shared" si="57"/>
        <v>70.221536582447413</v>
      </c>
      <c r="J85" t="s">
        <v>61</v>
      </c>
      <c r="K85" s="13">
        <f t="shared" si="58"/>
        <v>2</v>
      </c>
      <c r="L85" s="12">
        <f t="shared" si="59"/>
        <v>6.9026920728059267</v>
      </c>
      <c r="N85" s="19">
        <f t="shared" si="60"/>
        <v>8.9026920728059267</v>
      </c>
      <c r="O85" t="s">
        <v>39</v>
      </c>
      <c r="P85" s="13">
        <f t="shared" si="61"/>
        <v>38.107272271838099</v>
      </c>
      <c r="Q85" t="s">
        <v>61</v>
      </c>
      <c r="R85" s="13">
        <f t="shared" si="62"/>
        <v>2</v>
      </c>
      <c r="S85" s="12">
        <f t="shared" si="63"/>
        <v>2.4107272271838101</v>
      </c>
      <c r="U85" s="19">
        <f t="shared" si="64"/>
        <v>4.4107272271838101</v>
      </c>
      <c r="V85" t="s">
        <v>39</v>
      </c>
      <c r="W85" s="13">
        <f t="shared" si="65"/>
        <v>105.43274728470277</v>
      </c>
      <c r="X85" t="s">
        <v>61</v>
      </c>
      <c r="Y85" s="13">
        <f t="shared" si="66"/>
        <v>2</v>
      </c>
      <c r="Z85" s="12">
        <f t="shared" si="67"/>
        <v>11.304093410587846</v>
      </c>
      <c r="AB85" s="19">
        <f t="shared" si="68"/>
        <v>13.304093410587846</v>
      </c>
      <c r="AC85" t="s">
        <v>39</v>
      </c>
      <c r="AD85" s="14">
        <f t="shared" si="69"/>
        <v>-1.2170000000000001</v>
      </c>
      <c r="AE85" t="str">
        <f t="shared" si="70"/>
        <v>DOUBLE</v>
      </c>
      <c r="AF85" s="14">
        <f t="shared" si="71"/>
        <v>0.3</v>
      </c>
      <c r="AG85" t="str">
        <f t="shared" si="72"/>
        <v>OUT</v>
      </c>
      <c r="AH85" s="14">
        <f t="shared" si="73"/>
        <v>-1.2170000000000001</v>
      </c>
      <c r="AI85" t="str">
        <f t="shared" si="74"/>
        <v>DOUBLE</v>
      </c>
      <c r="AJ85" s="34">
        <f t="shared" ca="1" si="75"/>
        <v>658</v>
      </c>
      <c r="AK85">
        <f t="shared" ca="1" si="76"/>
        <v>0.5</v>
      </c>
      <c r="AL85" s="18">
        <f t="shared" ca="1" si="77"/>
        <v>0.15</v>
      </c>
      <c r="AM85" s="22" t="str">
        <f t="shared" ca="1" si="78"/>
        <v>OUT</v>
      </c>
      <c r="AN85" t="str">
        <f t="shared" ca="1" si="79"/>
        <v/>
      </c>
      <c r="AO85" t="str">
        <f t="shared" ca="1" si="80"/>
        <v/>
      </c>
      <c r="AP85">
        <f t="shared" ca="1" si="81"/>
        <v>129.71</v>
      </c>
      <c r="AQ85">
        <f t="shared" ca="1" si="82"/>
        <v>30.99</v>
      </c>
      <c r="AR85" t="str">
        <f t="shared" ca="1" si="83"/>
        <v/>
      </c>
      <c r="AS85" t="str">
        <f t="shared" ca="1" si="84"/>
        <v/>
      </c>
    </row>
    <row r="86" spans="1:45" x14ac:dyDescent="0.25">
      <c r="A86" s="1">
        <v>43648</v>
      </c>
      <c r="B86">
        <v>226</v>
      </c>
      <c r="C86">
        <v>9</v>
      </c>
      <c r="D86" t="s">
        <v>22</v>
      </c>
      <c r="E86">
        <v>155.03</v>
      </c>
      <c r="F86">
        <v>52.15</v>
      </c>
      <c r="G86" s="31">
        <f>HT!L54</f>
        <v>2.2771586708462959</v>
      </c>
      <c r="I86" s="13">
        <f t="shared" si="57"/>
        <v>37.404857973263312</v>
      </c>
      <c r="J86" t="s">
        <v>61</v>
      </c>
      <c r="K86" s="13">
        <f t="shared" si="58"/>
        <v>2</v>
      </c>
      <c r="L86" s="12">
        <f t="shared" si="59"/>
        <v>2.8006072466579139</v>
      </c>
      <c r="N86" s="19">
        <f t="shared" si="60"/>
        <v>4.8006072466579139</v>
      </c>
      <c r="O86" t="s">
        <v>39</v>
      </c>
      <c r="P86" s="13">
        <f t="shared" si="61"/>
        <v>50.642110935465553</v>
      </c>
      <c r="Q86" t="s">
        <v>61</v>
      </c>
      <c r="R86" s="13">
        <f t="shared" si="62"/>
        <v>2</v>
      </c>
      <c r="S86" s="12">
        <f t="shared" si="63"/>
        <v>3.6642110935465553</v>
      </c>
      <c r="U86" s="19">
        <f t="shared" si="64"/>
        <v>5.6642110935465553</v>
      </c>
      <c r="V86" t="s">
        <v>39</v>
      </c>
      <c r="W86" s="13">
        <f t="shared" si="65"/>
        <v>115.4163047407081</v>
      </c>
      <c r="X86" t="s">
        <v>61</v>
      </c>
      <c r="Y86" s="13">
        <f t="shared" si="66"/>
        <v>2</v>
      </c>
      <c r="Z86" s="12">
        <f t="shared" si="67"/>
        <v>12.552038092588512</v>
      </c>
      <c r="AB86" s="19">
        <f t="shared" si="68"/>
        <v>14.552038092588512</v>
      </c>
      <c r="AC86" t="s">
        <v>39</v>
      </c>
      <c r="AD86" s="14">
        <f t="shared" si="69"/>
        <v>-1.2170000000000001</v>
      </c>
      <c r="AE86" t="str">
        <f t="shared" si="70"/>
        <v>DOUBLE</v>
      </c>
      <c r="AF86" s="14">
        <f t="shared" si="71"/>
        <v>-1.2170000000000001</v>
      </c>
      <c r="AG86" t="str">
        <f t="shared" si="72"/>
        <v>DOUBLE</v>
      </c>
      <c r="AH86" s="14">
        <f t="shared" si="73"/>
        <v>-1.2170000000000001</v>
      </c>
      <c r="AI86" t="str">
        <f t="shared" si="74"/>
        <v>DOUBLE</v>
      </c>
      <c r="AJ86" s="34">
        <f t="shared" ca="1" si="75"/>
        <v>719</v>
      </c>
      <c r="AK86">
        <f t="shared" ca="1" si="76"/>
        <v>0.3</v>
      </c>
      <c r="AL86" s="18">
        <f t="shared" ca="1" si="77"/>
        <v>-0.36510000000000004</v>
      </c>
      <c r="AM86" s="22" t="str">
        <f t="shared" ca="1" si="78"/>
        <v>DOUBLE</v>
      </c>
      <c r="AN86" t="str">
        <f t="shared" ca="1" si="79"/>
        <v/>
      </c>
      <c r="AO86" t="str">
        <f t="shared" ca="1" si="80"/>
        <v/>
      </c>
      <c r="AP86" t="str">
        <f t="shared" ca="1" si="81"/>
        <v/>
      </c>
      <c r="AQ86" t="str">
        <f t="shared" ca="1" si="82"/>
        <v/>
      </c>
      <c r="AR86">
        <f t="shared" ca="1" si="83"/>
        <v>155.03</v>
      </c>
      <c r="AS86">
        <f t="shared" ca="1" si="84"/>
        <v>52.15</v>
      </c>
    </row>
    <row r="87" spans="1:45" x14ac:dyDescent="0.25">
      <c r="A87" s="1">
        <v>44047</v>
      </c>
      <c r="B87">
        <v>369</v>
      </c>
      <c r="C87">
        <v>8</v>
      </c>
      <c r="D87" t="s">
        <v>13</v>
      </c>
      <c r="E87">
        <v>167.97</v>
      </c>
      <c r="F87">
        <v>48.1</v>
      </c>
      <c r="G87" s="31">
        <f>HT!L13</f>
        <v>4.6999642807590334</v>
      </c>
      <c r="I87" s="13">
        <f t="shared" si="57"/>
        <v>34.092974349563576</v>
      </c>
      <c r="J87" t="s">
        <v>61</v>
      </c>
      <c r="K87" s="13">
        <f t="shared" si="58"/>
        <v>2</v>
      </c>
      <c r="L87" s="12">
        <f t="shared" si="59"/>
        <v>2.386621793695447</v>
      </c>
      <c r="N87" s="19">
        <f t="shared" si="60"/>
        <v>4.386621793695447</v>
      </c>
      <c r="O87" t="s">
        <v>39</v>
      </c>
      <c r="P87" s="13">
        <f t="shared" si="61"/>
        <v>64.084560543082446</v>
      </c>
      <c r="Q87" t="s">
        <v>61</v>
      </c>
      <c r="R87" s="13">
        <f t="shared" si="62"/>
        <v>2</v>
      </c>
      <c r="S87" s="12">
        <f t="shared" si="63"/>
        <v>5.0084560543082448</v>
      </c>
      <c r="U87" s="19">
        <f t="shared" si="64"/>
        <v>7.0084560543082448</v>
      </c>
      <c r="V87" t="s">
        <v>39</v>
      </c>
      <c r="W87" s="13">
        <f t="shared" si="65"/>
        <v>128.88184860561242</v>
      </c>
      <c r="X87" t="s">
        <v>61</v>
      </c>
      <c r="Y87" s="13">
        <f t="shared" si="66"/>
        <v>2</v>
      </c>
      <c r="Z87" s="12">
        <f t="shared" si="67"/>
        <v>14.235231075701552</v>
      </c>
      <c r="AB87" s="19">
        <f t="shared" si="68"/>
        <v>16.235231075701552</v>
      </c>
      <c r="AC87" t="s">
        <v>39</v>
      </c>
      <c r="AD87" s="14">
        <f t="shared" si="69"/>
        <v>0.3</v>
      </c>
      <c r="AE87" t="str">
        <f t="shared" si="70"/>
        <v>OUT</v>
      </c>
      <c r="AF87" s="14">
        <f t="shared" si="71"/>
        <v>-1.2170000000000001</v>
      </c>
      <c r="AG87" t="str">
        <f t="shared" si="72"/>
        <v>DOUBLE</v>
      </c>
      <c r="AH87" s="14">
        <f t="shared" si="73"/>
        <v>-1.2170000000000001</v>
      </c>
      <c r="AI87" t="str">
        <f t="shared" si="74"/>
        <v>DOUBLE</v>
      </c>
      <c r="AJ87" s="34">
        <f t="shared" ca="1" si="75"/>
        <v>320</v>
      </c>
      <c r="AK87">
        <f t="shared" ca="1" si="76"/>
        <v>0.7</v>
      </c>
      <c r="AL87" s="18">
        <f t="shared" ca="1" si="77"/>
        <v>0.21</v>
      </c>
      <c r="AM87" s="22" t="str">
        <f t="shared" ca="1" si="78"/>
        <v>OUT</v>
      </c>
      <c r="AN87" t="str">
        <f t="shared" ca="1" si="79"/>
        <v/>
      </c>
      <c r="AO87" t="str">
        <f t="shared" ca="1" si="80"/>
        <v/>
      </c>
      <c r="AP87">
        <f t="shared" ca="1" si="81"/>
        <v>167.97</v>
      </c>
      <c r="AQ87">
        <f t="shared" ca="1" si="82"/>
        <v>48.1</v>
      </c>
      <c r="AR87" t="str">
        <f t="shared" ca="1" si="83"/>
        <v/>
      </c>
      <c r="AS87" t="str">
        <f t="shared" ca="1" si="84"/>
        <v/>
      </c>
    </row>
    <row r="88" spans="1:45" x14ac:dyDescent="0.25">
      <c r="A88" s="1">
        <v>43673</v>
      </c>
      <c r="B88">
        <v>191</v>
      </c>
      <c r="C88">
        <v>9</v>
      </c>
      <c r="D88" t="s">
        <v>18</v>
      </c>
      <c r="E88">
        <v>169.03</v>
      </c>
      <c r="F88">
        <v>88.5</v>
      </c>
      <c r="G88" s="31">
        <f>HT!L26</f>
        <v>1.7177810097735446</v>
      </c>
      <c r="I88" s="13">
        <f t="shared" si="57"/>
        <v>13.877712347501658</v>
      </c>
      <c r="J88" t="s">
        <v>61</v>
      </c>
      <c r="K88" s="13">
        <f t="shared" si="58"/>
        <v>2</v>
      </c>
      <c r="L88" s="12">
        <f t="shared" si="59"/>
        <v>0</v>
      </c>
      <c r="N88" s="19">
        <f t="shared" si="60"/>
        <v>2</v>
      </c>
      <c r="O88" t="s">
        <v>39</v>
      </c>
      <c r="P88" s="13">
        <f t="shared" si="61"/>
        <v>70.086310360868623</v>
      </c>
      <c r="Q88" t="s">
        <v>61</v>
      </c>
      <c r="R88" s="13">
        <f t="shared" si="62"/>
        <v>2</v>
      </c>
      <c r="S88" s="12">
        <f t="shared" si="63"/>
        <v>5.6086310360868623</v>
      </c>
      <c r="U88" s="19">
        <f t="shared" si="64"/>
        <v>7.6086310360868623</v>
      </c>
      <c r="V88" t="s">
        <v>39</v>
      </c>
      <c r="W88" s="13">
        <f t="shared" si="65"/>
        <v>119.5842418548531</v>
      </c>
      <c r="X88" t="s">
        <v>61</v>
      </c>
      <c r="Y88" s="13">
        <f t="shared" si="66"/>
        <v>2</v>
      </c>
      <c r="Z88" s="12">
        <f t="shared" si="67"/>
        <v>13.073030231856638</v>
      </c>
      <c r="AB88" s="19">
        <f t="shared" si="68"/>
        <v>15.073030231856638</v>
      </c>
      <c r="AC88" t="s">
        <v>39</v>
      </c>
      <c r="AD88" s="14">
        <f t="shared" si="69"/>
        <v>-0.87</v>
      </c>
      <c r="AE88" t="str">
        <f t="shared" si="70"/>
        <v>SINGLE</v>
      </c>
      <c r="AF88" s="14">
        <f t="shared" si="71"/>
        <v>-1.2170000000000001</v>
      </c>
      <c r="AG88" t="str">
        <f t="shared" si="72"/>
        <v>DOUBLE</v>
      </c>
      <c r="AH88" s="14">
        <f t="shared" si="73"/>
        <v>-1.2170000000000001</v>
      </c>
      <c r="AI88" t="str">
        <f t="shared" si="74"/>
        <v>DOUBLE</v>
      </c>
      <c r="AJ88" s="34">
        <f t="shared" ca="1" si="75"/>
        <v>694</v>
      </c>
      <c r="AK88">
        <f t="shared" ca="1" si="76"/>
        <v>0.5</v>
      </c>
      <c r="AL88" s="18">
        <f t="shared" ca="1" si="77"/>
        <v>-0.435</v>
      </c>
      <c r="AM88" s="22" t="str">
        <f t="shared" ca="1" si="78"/>
        <v>SINGLE</v>
      </c>
      <c r="AN88">
        <f t="shared" ca="1" si="79"/>
        <v>169.03</v>
      </c>
      <c r="AO88">
        <f t="shared" ca="1" si="80"/>
        <v>88.5</v>
      </c>
      <c r="AP88" t="str">
        <f t="shared" ca="1" si="81"/>
        <v/>
      </c>
      <c r="AQ88" t="str">
        <f t="shared" ca="1" si="82"/>
        <v/>
      </c>
      <c r="AR88" t="str">
        <f t="shared" ca="1" si="83"/>
        <v/>
      </c>
      <c r="AS88" t="str">
        <f t="shared" ca="1" si="84"/>
        <v/>
      </c>
    </row>
    <row r="89" spans="1:45" x14ac:dyDescent="0.25">
      <c r="A89" s="1">
        <v>44328</v>
      </c>
      <c r="B89">
        <v>84</v>
      </c>
      <c r="C89">
        <v>9</v>
      </c>
      <c r="D89" t="s">
        <v>22</v>
      </c>
      <c r="E89">
        <v>173.08</v>
      </c>
      <c r="F89">
        <v>149.88</v>
      </c>
      <c r="G89" s="31">
        <f>HT!L65</f>
        <v>1.2243445484856421</v>
      </c>
      <c r="I89" s="13">
        <f t="shared" si="57"/>
        <v>70.22179718577415</v>
      </c>
      <c r="J89" t="s">
        <v>61</v>
      </c>
      <c r="K89" s="13">
        <f t="shared" si="58"/>
        <v>2</v>
      </c>
      <c r="L89" s="12">
        <f t="shared" si="59"/>
        <v>6.9027246482217688</v>
      </c>
      <c r="N89" s="19">
        <f t="shared" si="60"/>
        <v>8.9027246482217688</v>
      </c>
      <c r="O89" t="s">
        <v>39</v>
      </c>
      <c r="P89" s="13">
        <f t="shared" si="61"/>
        <v>112.75327401011467</v>
      </c>
      <c r="Q89" t="s">
        <v>61</v>
      </c>
      <c r="R89" s="13">
        <f t="shared" si="62"/>
        <v>2</v>
      </c>
      <c r="S89" s="12">
        <f t="shared" si="63"/>
        <v>9.8753274010114662</v>
      </c>
      <c r="U89" s="19">
        <f t="shared" si="64"/>
        <v>11.875327401011466</v>
      </c>
      <c r="V89" t="s">
        <v>39</v>
      </c>
      <c r="W89" s="13">
        <f t="shared" si="65"/>
        <v>132.80324092430877</v>
      </c>
      <c r="X89" t="s">
        <v>61</v>
      </c>
      <c r="Y89" s="13">
        <f t="shared" si="66"/>
        <v>2</v>
      </c>
      <c r="Z89" s="12">
        <f t="shared" si="67"/>
        <v>14.725405115538596</v>
      </c>
      <c r="AB89" s="19">
        <f t="shared" si="68"/>
        <v>16.725405115538596</v>
      </c>
      <c r="AC89" t="s">
        <v>39</v>
      </c>
      <c r="AD89" s="14">
        <f t="shared" si="69"/>
        <v>-1.2170000000000001</v>
      </c>
      <c r="AE89" t="str">
        <f t="shared" si="70"/>
        <v>DOUBLE</v>
      </c>
      <c r="AF89" s="14">
        <f t="shared" si="71"/>
        <v>-1.2170000000000001</v>
      </c>
      <c r="AG89" t="str">
        <f t="shared" si="72"/>
        <v>DOUBLE</v>
      </c>
      <c r="AH89" s="14">
        <f t="shared" si="73"/>
        <v>-1.2170000000000001</v>
      </c>
      <c r="AI89" t="str">
        <f t="shared" si="74"/>
        <v>DOUBLE</v>
      </c>
      <c r="AJ89" s="34">
        <f t="shared" ca="1" si="75"/>
        <v>39</v>
      </c>
      <c r="AK89">
        <f t="shared" ca="1" si="76"/>
        <v>1</v>
      </c>
      <c r="AL89" s="18">
        <f t="shared" ca="1" si="77"/>
        <v>-1.2170000000000001</v>
      </c>
      <c r="AM89" s="22" t="str">
        <f t="shared" ca="1" si="78"/>
        <v>DOUBLE</v>
      </c>
      <c r="AN89" t="str">
        <f t="shared" ca="1" si="79"/>
        <v/>
      </c>
      <c r="AO89" t="str">
        <f t="shared" ca="1" si="80"/>
        <v/>
      </c>
      <c r="AP89" t="str">
        <f t="shared" ca="1" si="81"/>
        <v/>
      </c>
      <c r="AQ89" t="str">
        <f t="shared" ca="1" si="82"/>
        <v/>
      </c>
      <c r="AR89">
        <f t="shared" ca="1" si="83"/>
        <v>173.08</v>
      </c>
      <c r="AS89">
        <f t="shared" ca="1" si="84"/>
        <v>149.88</v>
      </c>
    </row>
    <row r="90" spans="1:45" x14ac:dyDescent="0.25">
      <c r="A90" s="1">
        <v>44359</v>
      </c>
      <c r="B90">
        <v>216</v>
      </c>
      <c r="C90">
        <v>9</v>
      </c>
      <c r="D90" t="s">
        <v>18</v>
      </c>
      <c r="E90">
        <v>188.33</v>
      </c>
      <c r="F90">
        <v>138.22</v>
      </c>
      <c r="G90" s="31">
        <f>HT!L6</f>
        <v>4.0089709700312515</v>
      </c>
      <c r="I90" s="13">
        <f t="shared" si="57"/>
        <v>58.81290079565877</v>
      </c>
      <c r="J90" t="s">
        <v>61</v>
      </c>
      <c r="K90" s="13">
        <f t="shared" si="58"/>
        <v>2</v>
      </c>
      <c r="L90" s="12">
        <f t="shared" si="59"/>
        <v>5.4766125994573462</v>
      </c>
      <c r="N90" s="19">
        <f t="shared" si="60"/>
        <v>7.4766125994573462</v>
      </c>
      <c r="O90" t="s">
        <v>39</v>
      </c>
      <c r="P90" s="13">
        <f t="shared" si="61"/>
        <v>114.29023274103523</v>
      </c>
      <c r="Q90" t="s">
        <v>61</v>
      </c>
      <c r="R90" s="13">
        <f t="shared" si="62"/>
        <v>2</v>
      </c>
      <c r="S90" s="12">
        <f t="shared" si="63"/>
        <v>10.029023274103523</v>
      </c>
      <c r="U90" s="19">
        <f t="shared" si="64"/>
        <v>12.029023274103523</v>
      </c>
      <c r="V90" t="s">
        <v>39</v>
      </c>
      <c r="W90" s="13">
        <f t="shared" si="65"/>
        <v>143.51291684026216</v>
      </c>
      <c r="X90" t="s">
        <v>61</v>
      </c>
      <c r="Y90" s="13">
        <f t="shared" si="66"/>
        <v>2</v>
      </c>
      <c r="Z90" s="12">
        <f t="shared" si="67"/>
        <v>16.064114605032771</v>
      </c>
      <c r="AB90" s="19">
        <f t="shared" si="68"/>
        <v>18.064114605032771</v>
      </c>
      <c r="AC90" t="s">
        <v>39</v>
      </c>
      <c r="AD90" s="14">
        <f t="shared" si="69"/>
        <v>-1.2170000000000001</v>
      </c>
      <c r="AE90" t="str">
        <f t="shared" si="70"/>
        <v>DOUBLE</v>
      </c>
      <c r="AF90" s="14">
        <f t="shared" si="71"/>
        <v>-1.2170000000000001</v>
      </c>
      <c r="AG90" t="str">
        <f t="shared" si="72"/>
        <v>DOUBLE</v>
      </c>
      <c r="AH90" s="14">
        <f t="shared" si="73"/>
        <v>-1.2170000000000001</v>
      </c>
      <c r="AI90" t="str">
        <f t="shared" si="74"/>
        <v>DOUBLE</v>
      </c>
      <c r="AJ90" s="34">
        <f t="shared" ca="1" si="75"/>
        <v>8</v>
      </c>
      <c r="AK90">
        <f t="shared" ca="1" si="76"/>
        <v>1</v>
      </c>
      <c r="AL90" s="18">
        <f t="shared" ca="1" si="77"/>
        <v>-1.2170000000000001</v>
      </c>
      <c r="AM90" s="22" t="str">
        <f t="shared" ca="1" si="78"/>
        <v>DOUBLE</v>
      </c>
      <c r="AN90" t="str">
        <f t="shared" ca="1" si="79"/>
        <v/>
      </c>
      <c r="AO90" t="str">
        <f t="shared" ca="1" si="80"/>
        <v/>
      </c>
      <c r="AP90" t="str">
        <f t="shared" ca="1" si="81"/>
        <v/>
      </c>
      <c r="AQ90" t="str">
        <f t="shared" ca="1" si="82"/>
        <v/>
      </c>
      <c r="AR90">
        <f t="shared" ca="1" si="83"/>
        <v>188.33</v>
      </c>
      <c r="AS90">
        <f t="shared" ca="1" si="84"/>
        <v>138.22</v>
      </c>
    </row>
    <row r="91" spans="1:45" x14ac:dyDescent="0.25">
      <c r="A91" s="1">
        <v>44078</v>
      </c>
      <c r="B91">
        <v>155</v>
      </c>
      <c r="C91">
        <v>9</v>
      </c>
      <c r="D91" t="s">
        <v>18</v>
      </c>
      <c r="E91">
        <v>196.96</v>
      </c>
      <c r="F91">
        <v>117.33</v>
      </c>
      <c r="G91" s="31">
        <f>HT!L10</f>
        <v>1.5011645952498274</v>
      </c>
      <c r="I91" s="13">
        <f t="shared" si="57"/>
        <v>41.002079215571499</v>
      </c>
      <c r="J91" t="s">
        <v>61</v>
      </c>
      <c r="K91" s="13">
        <f t="shared" si="58"/>
        <v>2</v>
      </c>
      <c r="L91" s="12">
        <f t="shared" si="59"/>
        <v>3.2502599019464373</v>
      </c>
      <c r="N91" s="19">
        <f t="shared" si="60"/>
        <v>5.2502599019464373</v>
      </c>
      <c r="O91" t="s">
        <v>39</v>
      </c>
      <c r="P91" s="13">
        <f t="shared" si="61"/>
        <v>108.36683302560799</v>
      </c>
      <c r="Q91" t="s">
        <v>61</v>
      </c>
      <c r="R91" s="13">
        <f t="shared" si="62"/>
        <v>2</v>
      </c>
      <c r="S91" s="12">
        <f t="shared" si="63"/>
        <v>9.4366833025607981</v>
      </c>
      <c r="U91" s="19">
        <f t="shared" si="64"/>
        <v>11.436683302560798</v>
      </c>
      <c r="V91" t="s">
        <v>39</v>
      </c>
      <c r="W91" s="13">
        <f t="shared" si="65"/>
        <v>147.97827712201544</v>
      </c>
      <c r="X91" t="s">
        <v>61</v>
      </c>
      <c r="Y91" s="13">
        <f t="shared" si="66"/>
        <v>2</v>
      </c>
      <c r="Z91" s="12">
        <f t="shared" si="67"/>
        <v>16.62228464025193</v>
      </c>
      <c r="AB91" s="19">
        <f t="shared" si="68"/>
        <v>18.62228464025193</v>
      </c>
      <c r="AC91" t="s">
        <v>39</v>
      </c>
      <c r="AD91" s="14">
        <f t="shared" si="69"/>
        <v>-1.2170000000000001</v>
      </c>
      <c r="AE91" t="str">
        <f t="shared" si="70"/>
        <v>DOUBLE</v>
      </c>
      <c r="AF91" s="14">
        <f t="shared" si="71"/>
        <v>-1.2170000000000001</v>
      </c>
      <c r="AG91" t="str">
        <f t="shared" si="72"/>
        <v>DOUBLE</v>
      </c>
      <c r="AH91" s="14">
        <f t="shared" si="73"/>
        <v>-1.2170000000000001</v>
      </c>
      <c r="AI91" t="str">
        <f t="shared" si="74"/>
        <v>DOUBLE</v>
      </c>
      <c r="AJ91" s="34">
        <f t="shared" ca="1" si="75"/>
        <v>289</v>
      </c>
      <c r="AK91">
        <f t="shared" ca="1" si="76"/>
        <v>0.7</v>
      </c>
      <c r="AL91" s="18">
        <f t="shared" ca="1" si="77"/>
        <v>-0.85189999999999999</v>
      </c>
      <c r="AM91" s="22" t="str">
        <f t="shared" ca="1" si="78"/>
        <v>DOUBLE</v>
      </c>
      <c r="AN91" t="str">
        <f t="shared" ca="1" si="79"/>
        <v/>
      </c>
      <c r="AO91" t="str">
        <f t="shared" ca="1" si="80"/>
        <v/>
      </c>
      <c r="AP91" t="str">
        <f t="shared" ca="1" si="81"/>
        <v/>
      </c>
      <c r="AQ91" t="str">
        <f t="shared" ca="1" si="82"/>
        <v/>
      </c>
      <c r="AR91">
        <f t="shared" ca="1" si="83"/>
        <v>196.96</v>
      </c>
      <c r="AS91">
        <f t="shared" ca="1" si="84"/>
        <v>117.33</v>
      </c>
    </row>
    <row r="92" spans="1:45" x14ac:dyDescent="0.25">
      <c r="AJ92" s="34"/>
    </row>
  </sheetData>
  <sortState xmlns:xlrd2="http://schemas.microsoft.com/office/spreadsheetml/2017/richdata2" ref="A12:AS91">
    <sortCondition descending="1" ref="AM12:AM91"/>
    <sortCondition ref="E12:E91"/>
  </sortState>
  <mergeCells count="5">
    <mergeCell ref="K10:L10"/>
    <mergeCell ref="R10:S10"/>
    <mergeCell ref="Y10:Z10"/>
    <mergeCell ref="AD4:AG4"/>
    <mergeCell ref="AP10:AQ10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1">
                <anchor moveWithCells="1" sizeWithCells="1">
                  <from>
                    <xdr:col>41</xdr:col>
                    <xdr:colOff>85725</xdr:colOff>
                    <xdr:row>4</xdr:row>
                    <xdr:rowOff>104775</xdr:rowOff>
                  </from>
                  <to>
                    <xdr:col>43</xdr:col>
                    <xdr:colOff>104775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0BCFF-982C-42DB-B3FF-295505EF3312}">
  <sheetPr codeName="Sheet4"/>
  <dimension ref="A3:AG83"/>
  <sheetViews>
    <sheetView workbookViewId="0">
      <selection activeCell="C4" sqref="C4:H83"/>
    </sheetView>
  </sheetViews>
  <sheetFormatPr defaultRowHeight="15.75" x14ac:dyDescent="0.25"/>
  <cols>
    <col min="1" max="1" width="19.875" customWidth="1"/>
    <col min="2" max="2" width="12.625" customWidth="1"/>
    <col min="3" max="3" width="10.625" customWidth="1"/>
    <col min="9" max="9" width="15.625" customWidth="1"/>
    <col min="10" max="10" width="11.125" customWidth="1"/>
    <col min="12" max="12" width="9" style="30"/>
    <col min="15" max="15" width="12" customWidth="1"/>
  </cols>
  <sheetData>
    <row r="3" spans="1:33" x14ac:dyDescent="0.25">
      <c r="A3" s="24" t="s">
        <v>2</v>
      </c>
      <c r="B3" s="24" t="s">
        <v>1</v>
      </c>
      <c r="C3" t="s">
        <v>84</v>
      </c>
      <c r="D3" s="24" t="s">
        <v>9</v>
      </c>
      <c r="E3" s="24" t="s">
        <v>5</v>
      </c>
      <c r="F3" s="24" t="s">
        <v>3</v>
      </c>
      <c r="G3" s="24" t="s">
        <v>7</v>
      </c>
      <c r="H3" s="24" t="s">
        <v>8</v>
      </c>
      <c r="I3" s="24" t="s">
        <v>6</v>
      </c>
      <c r="J3" s="24" t="s">
        <v>10</v>
      </c>
      <c r="K3" s="24" t="s">
        <v>11</v>
      </c>
      <c r="L3" s="30" t="s">
        <v>83</v>
      </c>
      <c r="N3" s="29" t="s">
        <v>27</v>
      </c>
      <c r="O3" s="29" t="s">
        <v>28</v>
      </c>
      <c r="R3" s="24" t="s">
        <v>67</v>
      </c>
      <c r="S3" s="24" t="s">
        <v>68</v>
      </c>
      <c r="T3" s="24" t="s">
        <v>69</v>
      </c>
      <c r="U3" s="24" t="s">
        <v>70</v>
      </c>
      <c r="V3" s="24" t="s">
        <v>71</v>
      </c>
      <c r="W3" s="24" t="s">
        <v>72</v>
      </c>
      <c r="X3" s="24" t="s">
        <v>73</v>
      </c>
      <c r="Y3" s="24" t="s">
        <v>74</v>
      </c>
      <c r="AA3" s="24" t="s">
        <v>75</v>
      </c>
      <c r="AB3" s="24" t="s">
        <v>76</v>
      </c>
      <c r="AC3" s="24" t="s">
        <v>77</v>
      </c>
      <c r="AD3" s="24" t="s">
        <v>78</v>
      </c>
      <c r="AE3" s="24" t="s">
        <v>79</v>
      </c>
      <c r="AF3" s="24" t="s">
        <v>80</v>
      </c>
      <c r="AG3" s="24" t="s">
        <v>81</v>
      </c>
    </row>
    <row r="4" spans="1:33" x14ac:dyDescent="0.25">
      <c r="A4" t="s">
        <v>86</v>
      </c>
      <c r="B4" t="s">
        <v>82</v>
      </c>
      <c r="C4" s="1">
        <v>44362</v>
      </c>
      <c r="D4">
        <v>250</v>
      </c>
      <c r="E4">
        <v>7</v>
      </c>
      <c r="F4" t="s">
        <v>18</v>
      </c>
      <c r="G4">
        <v>86.94</v>
      </c>
      <c r="H4">
        <v>90.24</v>
      </c>
      <c r="I4" t="s">
        <v>20</v>
      </c>
      <c r="J4">
        <v>90.3</v>
      </c>
      <c r="K4">
        <v>16</v>
      </c>
      <c r="L4" s="30">
        <f t="shared" ref="L4:L46" si="0">IF(I4="line_drive",N4,O4)</f>
        <v>2.3345180990472025</v>
      </c>
      <c r="N4" s="29">
        <f t="shared" ref="N4" si="1">(2*R4*SIN(S4))/Y4</f>
        <v>2.3345180990472025</v>
      </c>
      <c r="O4" s="29">
        <f t="shared" ref="O4" si="2">(-AE4+SQRT((AE4^2)-(4*(AD4*AF4))))/(2*AD4)</f>
        <v>7.6693720991539118</v>
      </c>
      <c r="R4" s="24">
        <f t="shared" ref="R4" si="3">0.44*J4</f>
        <v>39.731999999999999</v>
      </c>
      <c r="S4" s="24">
        <f t="shared" ref="S4" si="4">K4*3.14/180</f>
        <v>0.27911111111111114</v>
      </c>
      <c r="T4" s="24">
        <v>0.14899999999999999</v>
      </c>
      <c r="U4" s="24">
        <v>9.81</v>
      </c>
      <c r="V4" s="24">
        <f t="shared" ref="V4" si="5">0.5*0.346*1.27*0.0044*(R4)^2</f>
        <v>1.5261012714245761</v>
      </c>
      <c r="W4" s="24">
        <f t="shared" ref="W4" si="6">((T4*U4)-V4)/T4</f>
        <v>-0.43229041224547748</v>
      </c>
      <c r="X4" s="24">
        <f t="shared" ref="X4" si="7">ABS(W4)</f>
        <v>0.43229041224547748</v>
      </c>
      <c r="Y4" s="24">
        <f t="shared" ref="Y4" si="8">U4-X4</f>
        <v>9.3777095877545236</v>
      </c>
      <c r="AA4" s="24">
        <f t="shared" ref="AA4" si="9">U4+X4</f>
        <v>10.242290412245477</v>
      </c>
      <c r="AB4" s="24">
        <f t="shared" ref="AB4" si="10">(R4)^2*SIN(S4^2)/(2*AA4)</f>
        <v>5.99747787344584</v>
      </c>
      <c r="AC4" s="24">
        <v>2.5</v>
      </c>
      <c r="AD4" s="24">
        <f t="shared" ref="AD4" si="11">0.5*AA4</f>
        <v>5.1211452061227387</v>
      </c>
      <c r="AE4" s="24">
        <f t="shared" ref="AE4" si="12">-R4</f>
        <v>-39.731999999999999</v>
      </c>
      <c r="AF4" s="24">
        <f t="shared" ref="AF4" si="13">AB4-AC4</f>
        <v>3.49747787344584</v>
      </c>
      <c r="AG4" s="24">
        <f t="shared" ref="AG4" si="14">AE4^2*4*AD4*AF4</f>
        <v>113100.07962006301</v>
      </c>
    </row>
    <row r="5" spans="1:33" x14ac:dyDescent="0.25">
      <c r="A5" t="s">
        <v>86</v>
      </c>
      <c r="B5" t="s">
        <v>82</v>
      </c>
      <c r="C5" s="1">
        <v>44362</v>
      </c>
      <c r="D5">
        <v>228</v>
      </c>
      <c r="E5">
        <v>8</v>
      </c>
      <c r="F5" t="s">
        <v>18</v>
      </c>
      <c r="G5">
        <v>133.61000000000001</v>
      </c>
      <c r="H5">
        <v>98.45</v>
      </c>
      <c r="I5" t="s">
        <v>20</v>
      </c>
      <c r="J5">
        <v>72.400000000000006</v>
      </c>
      <c r="K5">
        <v>24</v>
      </c>
      <c r="L5" s="30">
        <f t="shared" si="0"/>
        <v>3.9339480712034196</v>
      </c>
      <c r="N5" s="29">
        <f t="shared" ref="N5:N46" si="15">(2*R5*SIN(S5))/Y5</f>
        <v>3.9339480712034196</v>
      </c>
      <c r="O5" s="29">
        <f t="shared" ref="O5:O46" si="16">(-AE5+SQRT((AE5^2)-(4*(AD5*AF5))))/(2*AD5)</f>
        <v>4.7489166228532449</v>
      </c>
      <c r="R5" s="24">
        <f t="shared" ref="R5:R46" si="17">0.44*J5</f>
        <v>31.856000000000002</v>
      </c>
      <c r="S5" s="24">
        <f t="shared" ref="S5:S46" si="18">K5*3.14/180</f>
        <v>0.41866666666666669</v>
      </c>
      <c r="T5" s="24">
        <v>0.14899999999999999</v>
      </c>
      <c r="U5" s="24">
        <v>9.81</v>
      </c>
      <c r="V5" s="24">
        <f t="shared" ref="V5:V46" si="19">0.5*0.346*1.27*0.0044*(R5)^2</f>
        <v>0.9810360936048641</v>
      </c>
      <c r="W5" s="24">
        <f t="shared" ref="W5:W46" si="20">((T5*U5)-V5)/T5</f>
        <v>3.2258651435915158</v>
      </c>
      <c r="X5" s="24">
        <f t="shared" ref="X5:X46" si="21">ABS(W5)</f>
        <v>3.2258651435915158</v>
      </c>
      <c r="Y5" s="24">
        <f t="shared" ref="Y5:Y46" si="22">U5-X5</f>
        <v>6.5841348564084843</v>
      </c>
      <c r="AA5" s="24">
        <f t="shared" ref="AA5:AA46" si="23">U5+X5</f>
        <v>13.035865143591517</v>
      </c>
      <c r="AB5" s="24">
        <f t="shared" ref="AB5:AB46" si="24">(R5)^2*SIN(S5^2)/(2*AA5)</f>
        <v>6.787709738661893</v>
      </c>
      <c r="AC5" s="24">
        <v>2.5</v>
      </c>
      <c r="AD5" s="24">
        <f t="shared" ref="AD5:AD46" si="25">0.5*AA5</f>
        <v>6.5179325717957584</v>
      </c>
      <c r="AE5" s="24">
        <f t="shared" ref="AE5:AE46" si="26">-R5</f>
        <v>-31.856000000000002</v>
      </c>
      <c r="AF5" s="24">
        <f t="shared" ref="AF5:AF46" si="27">AB5-AC5</f>
        <v>4.287709738661893</v>
      </c>
      <c r="AG5" s="24">
        <f t="shared" ref="AG5:AG46" si="28">AE5^2*4*AD5*AF5</f>
        <v>113443.00385961568</v>
      </c>
    </row>
    <row r="6" spans="1:33" x14ac:dyDescent="0.25">
      <c r="A6" t="s">
        <v>86</v>
      </c>
      <c r="B6" t="s">
        <v>82</v>
      </c>
      <c r="C6" s="1">
        <v>44359</v>
      </c>
      <c r="D6">
        <v>216</v>
      </c>
      <c r="E6">
        <v>9</v>
      </c>
      <c r="F6" t="s">
        <v>18</v>
      </c>
      <c r="G6">
        <v>188.33</v>
      </c>
      <c r="H6">
        <v>138.22</v>
      </c>
      <c r="I6" t="s">
        <v>17</v>
      </c>
      <c r="J6">
        <v>70.099999999999994</v>
      </c>
      <c r="K6">
        <v>42</v>
      </c>
      <c r="L6" s="30">
        <f t="shared" si="0"/>
        <v>4.0089709700312515</v>
      </c>
      <c r="N6" s="29">
        <f t="shared" si="15"/>
        <v>6.6845881247231267</v>
      </c>
      <c r="O6" s="29">
        <f t="shared" si="16"/>
        <v>4.0089709700312515</v>
      </c>
      <c r="R6" s="24">
        <f t="shared" si="17"/>
        <v>30.843999999999998</v>
      </c>
      <c r="S6" s="24">
        <f t="shared" si="18"/>
        <v>0.73266666666666669</v>
      </c>
      <c r="T6" s="24">
        <v>0.14899999999999999</v>
      </c>
      <c r="U6" s="24">
        <v>9.81</v>
      </c>
      <c r="V6" s="24">
        <f t="shared" si="19"/>
        <v>0.9196951356672638</v>
      </c>
      <c r="W6" s="24">
        <f t="shared" si="20"/>
        <v>3.6375494250519207</v>
      </c>
      <c r="X6" s="24">
        <f t="shared" si="21"/>
        <v>3.6375494250519207</v>
      </c>
      <c r="Y6" s="24">
        <f t="shared" si="22"/>
        <v>6.1724505749480798</v>
      </c>
      <c r="AA6" s="24">
        <f t="shared" si="23"/>
        <v>13.447549425051921</v>
      </c>
      <c r="AB6" s="24">
        <f t="shared" si="24"/>
        <v>18.089213829704246</v>
      </c>
      <c r="AC6" s="24">
        <v>2.5</v>
      </c>
      <c r="AD6" s="24">
        <f t="shared" si="25"/>
        <v>6.7237747125259606</v>
      </c>
      <c r="AE6" s="24">
        <f t="shared" si="26"/>
        <v>-30.843999999999998</v>
      </c>
      <c r="AF6" s="24">
        <f t="shared" si="27"/>
        <v>15.589213829704246</v>
      </c>
      <c r="AG6" s="24">
        <f t="shared" si="28"/>
        <v>398876.77317418461</v>
      </c>
    </row>
    <row r="7" spans="1:33" x14ac:dyDescent="0.25">
      <c r="A7" t="s">
        <v>86</v>
      </c>
      <c r="B7" t="s">
        <v>82</v>
      </c>
      <c r="C7" s="1">
        <v>44338</v>
      </c>
      <c r="D7">
        <v>221</v>
      </c>
      <c r="E7">
        <v>7</v>
      </c>
      <c r="F7" t="s">
        <v>13</v>
      </c>
      <c r="G7">
        <v>84.42</v>
      </c>
      <c r="H7">
        <v>120.96</v>
      </c>
      <c r="I7" t="s">
        <v>17</v>
      </c>
      <c r="J7">
        <v>92.7</v>
      </c>
      <c r="K7">
        <v>56</v>
      </c>
      <c r="L7" s="30">
        <f t="shared" si="0"/>
        <v>5.5371252275926386</v>
      </c>
      <c r="N7" s="29">
        <f t="shared" si="15"/>
        <v>7.6599477691543303</v>
      </c>
      <c r="O7" s="29">
        <f t="shared" si="16"/>
        <v>5.5371252275926386</v>
      </c>
      <c r="R7" s="24">
        <f t="shared" si="17"/>
        <v>40.788000000000004</v>
      </c>
      <c r="S7" s="24">
        <f t="shared" si="18"/>
        <v>0.97688888888888892</v>
      </c>
      <c r="T7" s="24">
        <v>0.14899999999999999</v>
      </c>
      <c r="U7" s="24">
        <v>9.81</v>
      </c>
      <c r="V7" s="24">
        <f t="shared" si="19"/>
        <v>1.6083009624274562</v>
      </c>
      <c r="W7" s="24">
        <f t="shared" si="20"/>
        <v>-0.98396619078829739</v>
      </c>
      <c r="X7" s="24">
        <f t="shared" si="21"/>
        <v>0.98396619078829739</v>
      </c>
      <c r="Y7" s="24">
        <f t="shared" si="22"/>
        <v>8.8260338092117028</v>
      </c>
      <c r="AA7" s="24">
        <f t="shared" si="23"/>
        <v>10.793966190788298</v>
      </c>
      <c r="AB7" s="24">
        <f t="shared" si="24"/>
        <v>62.878080096862448</v>
      </c>
      <c r="AC7" s="24">
        <v>2.5</v>
      </c>
      <c r="AD7" s="24">
        <f t="shared" si="25"/>
        <v>5.3969830953941491</v>
      </c>
      <c r="AE7" s="24">
        <f t="shared" si="26"/>
        <v>-40.788000000000004</v>
      </c>
      <c r="AF7" s="24">
        <f t="shared" si="27"/>
        <v>60.378080096862448</v>
      </c>
      <c r="AG7" s="24">
        <f t="shared" si="28"/>
        <v>2168478.7445620736</v>
      </c>
    </row>
    <row r="8" spans="1:33" x14ac:dyDescent="0.25">
      <c r="A8" t="s">
        <v>86</v>
      </c>
      <c r="B8" t="s">
        <v>82</v>
      </c>
      <c r="C8" s="1">
        <v>44314</v>
      </c>
      <c r="D8">
        <v>216</v>
      </c>
      <c r="E8">
        <v>8</v>
      </c>
      <c r="F8" t="s">
        <v>18</v>
      </c>
      <c r="G8">
        <v>140.19999999999999</v>
      </c>
      <c r="H8">
        <v>116.3</v>
      </c>
      <c r="I8" t="s">
        <v>17</v>
      </c>
      <c r="J8">
        <v>66.099999999999994</v>
      </c>
      <c r="K8">
        <v>41</v>
      </c>
      <c r="L8" s="30">
        <f t="shared" si="0"/>
        <v>3.6442202872843668</v>
      </c>
      <c r="N8" s="29">
        <f t="shared" si="15"/>
        <v>6.9505830671296032</v>
      </c>
      <c r="O8" s="29">
        <f t="shared" si="16"/>
        <v>3.6442202872843668</v>
      </c>
      <c r="R8" s="24">
        <f t="shared" si="17"/>
        <v>29.083999999999996</v>
      </c>
      <c r="S8" s="24">
        <f t="shared" si="18"/>
        <v>0.71522222222222231</v>
      </c>
      <c r="T8" s="24">
        <v>0.14899999999999999</v>
      </c>
      <c r="U8" s="24">
        <v>9.81</v>
      </c>
      <c r="V8" s="24">
        <f t="shared" si="19"/>
        <v>0.8177315845325438</v>
      </c>
      <c r="W8" s="24">
        <f t="shared" si="20"/>
        <v>4.3218685601842699</v>
      </c>
      <c r="X8" s="24">
        <f t="shared" si="21"/>
        <v>4.3218685601842699</v>
      </c>
      <c r="Y8" s="24">
        <f t="shared" si="22"/>
        <v>5.4881314398157306</v>
      </c>
      <c r="AA8" s="24">
        <f t="shared" si="23"/>
        <v>14.13186856018427</v>
      </c>
      <c r="AB8" s="24">
        <f t="shared" si="24"/>
        <v>14.65048256326496</v>
      </c>
      <c r="AC8" s="24">
        <v>2.5</v>
      </c>
      <c r="AD8" s="24">
        <f t="shared" si="25"/>
        <v>7.0659342800921348</v>
      </c>
      <c r="AE8" s="24">
        <f t="shared" si="26"/>
        <v>-29.083999999999996</v>
      </c>
      <c r="AF8" s="24">
        <f t="shared" si="27"/>
        <v>12.15048256326496</v>
      </c>
      <c r="AG8" s="24">
        <f t="shared" si="28"/>
        <v>290490.13176342513</v>
      </c>
    </row>
    <row r="9" spans="1:33" x14ac:dyDescent="0.25">
      <c r="A9" t="s">
        <v>86</v>
      </c>
      <c r="B9" t="s">
        <v>82</v>
      </c>
      <c r="C9" s="1">
        <v>44314</v>
      </c>
      <c r="D9">
        <v>208</v>
      </c>
      <c r="E9">
        <v>7</v>
      </c>
      <c r="F9" t="s">
        <v>18</v>
      </c>
      <c r="G9">
        <v>78.400000000000006</v>
      </c>
      <c r="H9">
        <v>131.11000000000001</v>
      </c>
      <c r="I9" t="s">
        <v>20</v>
      </c>
      <c r="J9">
        <v>89.6</v>
      </c>
      <c r="K9">
        <v>12</v>
      </c>
      <c r="L9" s="30">
        <f t="shared" si="0"/>
        <v>1.7182699476860528</v>
      </c>
      <c r="N9" s="29">
        <f t="shared" si="15"/>
        <v>1.7182699476860528</v>
      </c>
      <c r="O9" s="29">
        <f t="shared" si="16"/>
        <v>7.7967522492977395</v>
      </c>
      <c r="R9" s="24">
        <f t="shared" si="17"/>
        <v>39.423999999999999</v>
      </c>
      <c r="S9" s="24">
        <f t="shared" si="18"/>
        <v>0.20933333333333334</v>
      </c>
      <c r="T9" s="24">
        <v>0.14899999999999999</v>
      </c>
      <c r="U9" s="24">
        <v>9.81</v>
      </c>
      <c r="V9" s="24">
        <f t="shared" si="19"/>
        <v>1.5025324939018241</v>
      </c>
      <c r="W9" s="24">
        <f t="shared" si="20"/>
        <v>-0.2741106973276789</v>
      </c>
      <c r="X9" s="24">
        <f t="shared" si="21"/>
        <v>0.2741106973276789</v>
      </c>
      <c r="Y9" s="24">
        <f t="shared" si="22"/>
        <v>9.5358893026723219</v>
      </c>
      <c r="AA9" s="24">
        <f t="shared" si="23"/>
        <v>10.084110697327679</v>
      </c>
      <c r="AB9" s="24">
        <f t="shared" si="24"/>
        <v>3.3759153658595666</v>
      </c>
      <c r="AC9" s="24">
        <v>2.5</v>
      </c>
      <c r="AD9" s="24">
        <f t="shared" si="25"/>
        <v>5.0420553486638395</v>
      </c>
      <c r="AE9" s="24">
        <f t="shared" si="26"/>
        <v>-39.423999999999999</v>
      </c>
      <c r="AF9" s="24">
        <f t="shared" si="27"/>
        <v>0.87591536585956664</v>
      </c>
      <c r="AG9" s="24">
        <f t="shared" si="28"/>
        <v>27456.875691581521</v>
      </c>
    </row>
    <row r="10" spans="1:33" x14ac:dyDescent="0.25">
      <c r="A10" t="s">
        <v>86</v>
      </c>
      <c r="B10" t="s">
        <v>82</v>
      </c>
      <c r="C10" s="1">
        <v>44078</v>
      </c>
      <c r="D10">
        <v>155</v>
      </c>
      <c r="E10">
        <v>9</v>
      </c>
      <c r="F10" t="s">
        <v>18</v>
      </c>
      <c r="G10">
        <v>196.96</v>
      </c>
      <c r="H10">
        <v>117.33</v>
      </c>
      <c r="I10" t="s">
        <v>20</v>
      </c>
      <c r="J10">
        <v>81</v>
      </c>
      <c r="K10">
        <v>10</v>
      </c>
      <c r="L10" s="30">
        <f t="shared" si="0"/>
        <v>1.5011645952498274</v>
      </c>
      <c r="N10" s="29">
        <f t="shared" si="15"/>
        <v>1.5011645952498274</v>
      </c>
      <c r="O10" s="29">
        <f t="shared" si="16"/>
        <v>6.2867092375133184</v>
      </c>
      <c r="R10" s="24">
        <f t="shared" si="17"/>
        <v>35.64</v>
      </c>
      <c r="S10" s="24">
        <f t="shared" si="18"/>
        <v>0.17444444444444446</v>
      </c>
      <c r="T10" s="24">
        <v>0.14899999999999999</v>
      </c>
      <c r="U10" s="24">
        <v>9.81</v>
      </c>
      <c r="V10" s="24">
        <f t="shared" si="19"/>
        <v>1.2279421053504</v>
      </c>
      <c r="W10" s="24">
        <f t="shared" si="20"/>
        <v>1.5687778164402677</v>
      </c>
      <c r="X10" s="24">
        <f t="shared" si="21"/>
        <v>1.5687778164402677</v>
      </c>
      <c r="Y10" s="24">
        <f t="shared" si="22"/>
        <v>8.2412221835597332</v>
      </c>
      <c r="AA10" s="24">
        <f t="shared" si="23"/>
        <v>11.378777816440268</v>
      </c>
      <c r="AB10" s="24">
        <f t="shared" si="24"/>
        <v>1.6982320492987966</v>
      </c>
      <c r="AC10" s="24">
        <v>2.5</v>
      </c>
      <c r="AD10" s="24">
        <f t="shared" si="25"/>
        <v>5.6893889082201339</v>
      </c>
      <c r="AE10" s="24">
        <f t="shared" si="26"/>
        <v>-35.64</v>
      </c>
      <c r="AF10" s="24">
        <f t="shared" si="27"/>
        <v>-0.80176795070120344</v>
      </c>
      <c r="AG10" s="24">
        <f t="shared" si="28"/>
        <v>-23176.598423308416</v>
      </c>
    </row>
    <row r="11" spans="1:33" x14ac:dyDescent="0.25">
      <c r="A11" t="s">
        <v>86</v>
      </c>
      <c r="B11" t="s">
        <v>82</v>
      </c>
      <c r="C11" s="1">
        <v>44057</v>
      </c>
      <c r="D11">
        <v>250</v>
      </c>
      <c r="E11">
        <v>9</v>
      </c>
      <c r="F11" t="s">
        <v>13</v>
      </c>
      <c r="G11">
        <v>167.84</v>
      </c>
      <c r="H11">
        <v>103.11</v>
      </c>
      <c r="I11" t="s">
        <v>17</v>
      </c>
      <c r="J11">
        <v>71.5</v>
      </c>
      <c r="K11">
        <v>37</v>
      </c>
      <c r="L11" s="30">
        <f t="shared" si="0"/>
        <v>4.3230083460315489</v>
      </c>
      <c r="N11" s="29">
        <f t="shared" si="15"/>
        <v>5.8942605318249939</v>
      </c>
      <c r="O11" s="29">
        <f t="shared" si="16"/>
        <v>4.3230083460315489</v>
      </c>
      <c r="R11" s="24">
        <f t="shared" si="17"/>
        <v>31.46</v>
      </c>
      <c r="S11" s="24">
        <f t="shared" si="18"/>
        <v>0.64544444444444449</v>
      </c>
      <c r="T11" s="24">
        <v>0.14899999999999999</v>
      </c>
      <c r="U11" s="24">
        <v>9.81</v>
      </c>
      <c r="V11" s="24">
        <f t="shared" si="19"/>
        <v>0.95679729127840007</v>
      </c>
      <c r="W11" s="24">
        <f t="shared" si="20"/>
        <v>3.3885416692724823</v>
      </c>
      <c r="X11" s="24">
        <f t="shared" si="21"/>
        <v>3.3885416692724823</v>
      </c>
      <c r="Y11" s="24">
        <f t="shared" si="22"/>
        <v>6.4214583307275177</v>
      </c>
      <c r="AA11" s="24">
        <f t="shared" si="23"/>
        <v>13.198541669272483</v>
      </c>
      <c r="AB11" s="24">
        <f t="shared" si="24"/>
        <v>15.172021845916694</v>
      </c>
      <c r="AC11" s="24">
        <v>2.5</v>
      </c>
      <c r="AD11" s="24">
        <f t="shared" si="25"/>
        <v>6.5992708346362416</v>
      </c>
      <c r="AE11" s="24">
        <f t="shared" si="26"/>
        <v>-31.46</v>
      </c>
      <c r="AF11" s="24">
        <f t="shared" si="27"/>
        <v>12.672021845916694</v>
      </c>
      <c r="AG11" s="24">
        <f t="shared" si="28"/>
        <v>331069.5915817286</v>
      </c>
    </row>
    <row r="12" spans="1:33" x14ac:dyDescent="0.25">
      <c r="A12" t="s">
        <v>86</v>
      </c>
      <c r="B12" t="s">
        <v>82</v>
      </c>
      <c r="C12" s="1">
        <v>44050</v>
      </c>
      <c r="D12">
        <v>302</v>
      </c>
      <c r="E12">
        <v>8</v>
      </c>
      <c r="F12" t="s">
        <v>13</v>
      </c>
      <c r="G12">
        <v>126.03</v>
      </c>
      <c r="H12">
        <v>71.41</v>
      </c>
      <c r="I12" t="s">
        <v>17</v>
      </c>
      <c r="J12">
        <v>88.6</v>
      </c>
      <c r="K12">
        <v>43</v>
      </c>
      <c r="L12" s="30">
        <f t="shared" si="0"/>
        <v>6.7464833279327276</v>
      </c>
      <c r="N12" s="29">
        <f t="shared" si="15"/>
        <v>5.4460908883771273</v>
      </c>
      <c r="O12" s="29">
        <f t="shared" si="16"/>
        <v>6.7464833279327276</v>
      </c>
      <c r="R12" s="24">
        <f t="shared" si="17"/>
        <v>38.983999999999995</v>
      </c>
      <c r="S12" s="24">
        <f t="shared" si="18"/>
        <v>0.75011111111111117</v>
      </c>
      <c r="T12" s="24">
        <v>0.14899999999999999</v>
      </c>
      <c r="U12" s="24">
        <v>9.81</v>
      </c>
      <c r="V12" s="24">
        <f t="shared" si="19"/>
        <v>1.4691809799293436</v>
      </c>
      <c r="W12" s="24">
        <f t="shared" si="20"/>
        <v>-5.0275033082843402E-2</v>
      </c>
      <c r="X12" s="24">
        <f t="shared" si="21"/>
        <v>5.0275033082843402E-2</v>
      </c>
      <c r="Y12" s="24">
        <f t="shared" si="22"/>
        <v>9.7597249669171564</v>
      </c>
      <c r="AA12" s="24">
        <f t="shared" si="23"/>
        <v>9.8602750330828446</v>
      </c>
      <c r="AB12" s="24">
        <f t="shared" si="24"/>
        <v>41.10951312583196</v>
      </c>
      <c r="AC12" s="24">
        <v>2.5</v>
      </c>
      <c r="AD12" s="24">
        <f t="shared" si="25"/>
        <v>4.9301375165414223</v>
      </c>
      <c r="AE12" s="24">
        <f t="shared" si="26"/>
        <v>-38.983999999999995</v>
      </c>
      <c r="AF12" s="24">
        <f t="shared" si="27"/>
        <v>38.60951312583196</v>
      </c>
      <c r="AG12" s="24">
        <f t="shared" si="28"/>
        <v>1157140.6391860708</v>
      </c>
    </row>
    <row r="13" spans="1:33" x14ac:dyDescent="0.25">
      <c r="A13" t="s">
        <v>86</v>
      </c>
      <c r="B13" t="s">
        <v>82</v>
      </c>
      <c r="C13" s="1">
        <v>44047</v>
      </c>
      <c r="D13">
        <v>369</v>
      </c>
      <c r="E13">
        <v>8</v>
      </c>
      <c r="F13" t="s">
        <v>13</v>
      </c>
      <c r="G13">
        <v>167.97</v>
      </c>
      <c r="H13">
        <v>48.1</v>
      </c>
      <c r="I13" t="s">
        <v>20</v>
      </c>
      <c r="J13">
        <v>98.3</v>
      </c>
      <c r="K13">
        <v>24</v>
      </c>
      <c r="L13" s="30">
        <f t="shared" si="0"/>
        <v>4.6999642807590334</v>
      </c>
      <c r="N13" s="29">
        <f t="shared" si="15"/>
        <v>4.6999642807590334</v>
      </c>
      <c r="O13" s="29">
        <f t="shared" si="16"/>
        <v>6.8644273070968014</v>
      </c>
      <c r="R13" s="24">
        <f t="shared" si="17"/>
        <v>43.252000000000002</v>
      </c>
      <c r="S13" s="24">
        <f t="shared" si="18"/>
        <v>0.41866666666666669</v>
      </c>
      <c r="T13" s="24">
        <v>0.14899999999999999</v>
      </c>
      <c r="U13" s="24">
        <v>9.81</v>
      </c>
      <c r="V13" s="24">
        <f t="shared" si="19"/>
        <v>1.8084849093688962</v>
      </c>
      <c r="W13" s="24">
        <f t="shared" si="20"/>
        <v>-2.3274826132140687</v>
      </c>
      <c r="X13" s="24">
        <f t="shared" si="21"/>
        <v>2.3274826132140687</v>
      </c>
      <c r="Y13" s="24">
        <f t="shared" si="22"/>
        <v>7.4825173867859318</v>
      </c>
      <c r="AA13" s="24">
        <f t="shared" si="23"/>
        <v>12.137482613214068</v>
      </c>
      <c r="AB13" s="24">
        <f t="shared" si="24"/>
        <v>13.438921090888067</v>
      </c>
      <c r="AC13" s="24">
        <v>2.5</v>
      </c>
      <c r="AD13" s="24">
        <f t="shared" si="25"/>
        <v>6.0687413066070341</v>
      </c>
      <c r="AE13" s="24">
        <f t="shared" si="26"/>
        <v>-43.252000000000002</v>
      </c>
      <c r="AF13" s="24">
        <f t="shared" si="27"/>
        <v>10.938921090888067</v>
      </c>
      <c r="AG13" s="24">
        <f t="shared" si="28"/>
        <v>496758.71456044278</v>
      </c>
    </row>
    <row r="14" spans="1:33" x14ac:dyDescent="0.25">
      <c r="A14" t="s">
        <v>86</v>
      </c>
      <c r="B14" t="s">
        <v>82</v>
      </c>
      <c r="C14" s="1">
        <v>44042</v>
      </c>
      <c r="D14">
        <v>238</v>
      </c>
      <c r="E14">
        <v>9</v>
      </c>
      <c r="F14" t="s">
        <v>13</v>
      </c>
      <c r="G14">
        <v>173.61</v>
      </c>
      <c r="H14">
        <v>111.22</v>
      </c>
      <c r="I14" t="s">
        <v>17</v>
      </c>
      <c r="J14">
        <v>73.3</v>
      </c>
      <c r="K14">
        <v>27</v>
      </c>
      <c r="L14" s="30">
        <f t="shared" si="0"/>
        <v>4.8048420486182035</v>
      </c>
      <c r="N14" s="29">
        <f t="shared" si="15"/>
        <v>4.3371075536397878</v>
      </c>
      <c r="O14" s="29">
        <f t="shared" si="16"/>
        <v>4.8048420486182035</v>
      </c>
      <c r="R14" s="24">
        <f t="shared" si="17"/>
        <v>32.252000000000002</v>
      </c>
      <c r="S14" s="24">
        <f t="shared" si="18"/>
        <v>0.47100000000000003</v>
      </c>
      <c r="T14" s="24">
        <v>0.14899999999999999</v>
      </c>
      <c r="U14" s="24">
        <v>9.81</v>
      </c>
      <c r="V14" s="24">
        <f t="shared" si="19"/>
        <v>1.005578091512896</v>
      </c>
      <c r="W14" s="24">
        <f t="shared" si="20"/>
        <v>3.061153748235597</v>
      </c>
      <c r="X14" s="24">
        <f t="shared" si="21"/>
        <v>3.061153748235597</v>
      </c>
      <c r="Y14" s="24">
        <f t="shared" si="22"/>
        <v>6.7488462517644034</v>
      </c>
      <c r="AA14" s="24">
        <f t="shared" si="23"/>
        <v>12.871153748235598</v>
      </c>
      <c r="AB14" s="24">
        <f t="shared" si="24"/>
        <v>8.8907744767996864</v>
      </c>
      <c r="AC14" s="24">
        <v>2.5</v>
      </c>
      <c r="AD14" s="24">
        <f t="shared" si="25"/>
        <v>6.4355768741177988</v>
      </c>
      <c r="AE14" s="24">
        <f t="shared" si="26"/>
        <v>-32.252000000000002</v>
      </c>
      <c r="AF14" s="24">
        <f t="shared" si="27"/>
        <v>6.3907744767996864</v>
      </c>
      <c r="AG14" s="24">
        <f t="shared" si="28"/>
        <v>171125.31794277544</v>
      </c>
    </row>
    <row r="15" spans="1:33" x14ac:dyDescent="0.25">
      <c r="A15" t="s">
        <v>86</v>
      </c>
      <c r="B15" t="s">
        <v>82</v>
      </c>
      <c r="C15" s="1">
        <v>44039</v>
      </c>
      <c r="D15">
        <v>169</v>
      </c>
      <c r="E15">
        <v>8</v>
      </c>
      <c r="F15" t="s">
        <v>18</v>
      </c>
      <c r="G15">
        <v>126.21</v>
      </c>
      <c r="H15">
        <v>95.86</v>
      </c>
      <c r="I15" t="s">
        <v>20</v>
      </c>
      <c r="J15">
        <v>79.3</v>
      </c>
      <c r="K15">
        <v>12</v>
      </c>
      <c r="L15" s="30">
        <f t="shared" si="0"/>
        <v>1.8359033454164471</v>
      </c>
      <c r="N15" s="29">
        <f t="shared" si="15"/>
        <v>1.8359033454164471</v>
      </c>
      <c r="O15" s="29">
        <f t="shared" si="16"/>
        <v>5.9601597395709147</v>
      </c>
      <c r="R15" s="24">
        <f t="shared" si="17"/>
        <v>34.891999999999996</v>
      </c>
      <c r="S15" s="24">
        <f t="shared" si="18"/>
        <v>0.20933333333333334</v>
      </c>
      <c r="T15" s="24">
        <v>0.14899999999999999</v>
      </c>
      <c r="U15" s="24">
        <v>9.81</v>
      </c>
      <c r="V15" s="24">
        <f t="shared" si="19"/>
        <v>1.1769397424287358</v>
      </c>
      <c r="W15" s="24">
        <f t="shared" si="20"/>
        <v>1.9110755541695581</v>
      </c>
      <c r="X15" s="24">
        <f t="shared" si="21"/>
        <v>1.9110755541695581</v>
      </c>
      <c r="Y15" s="24">
        <f t="shared" si="22"/>
        <v>7.898924445830442</v>
      </c>
      <c r="AA15" s="24">
        <f t="shared" si="23"/>
        <v>11.721075554169559</v>
      </c>
      <c r="AB15" s="24">
        <f t="shared" si="24"/>
        <v>2.2750557563769624</v>
      </c>
      <c r="AC15" s="24">
        <v>2.5</v>
      </c>
      <c r="AD15" s="24">
        <f t="shared" si="25"/>
        <v>5.8605377770847795</v>
      </c>
      <c r="AE15" s="24">
        <f t="shared" si="26"/>
        <v>-34.891999999999996</v>
      </c>
      <c r="AF15" s="24">
        <f t="shared" si="27"/>
        <v>-0.22494424362303755</v>
      </c>
      <c r="AG15" s="24">
        <f t="shared" si="28"/>
        <v>-6419.8380522980387</v>
      </c>
    </row>
    <row r="16" spans="1:33" x14ac:dyDescent="0.25">
      <c r="A16" t="s">
        <v>86</v>
      </c>
      <c r="B16" t="s">
        <v>82</v>
      </c>
      <c r="C16" s="1">
        <v>43690</v>
      </c>
      <c r="D16">
        <v>149</v>
      </c>
      <c r="E16">
        <v>8</v>
      </c>
      <c r="F16" t="s">
        <v>18</v>
      </c>
      <c r="G16">
        <v>122.01</v>
      </c>
      <c r="H16">
        <v>91.26</v>
      </c>
      <c r="I16" t="s">
        <v>20</v>
      </c>
      <c r="J16">
        <v>105</v>
      </c>
      <c r="K16">
        <v>7</v>
      </c>
      <c r="L16" s="30">
        <f t="shared" si="0"/>
        <v>1.9500802800869399</v>
      </c>
      <c r="N16" s="29">
        <f t="shared" si="15"/>
        <v>1.9500802800869399</v>
      </c>
      <c r="O16" s="29">
        <f t="shared" si="16"/>
        <v>6.7013557583769368</v>
      </c>
      <c r="R16" s="24">
        <f t="shared" si="17"/>
        <v>46.2</v>
      </c>
      <c r="S16" s="24">
        <f t="shared" si="18"/>
        <v>0.12211111111111111</v>
      </c>
      <c r="T16" s="24">
        <v>0.14899999999999999</v>
      </c>
      <c r="U16" s="24">
        <v>9.81</v>
      </c>
      <c r="V16" s="24">
        <f t="shared" si="19"/>
        <v>2.0634143745599998</v>
      </c>
      <c r="W16" s="24">
        <f t="shared" si="20"/>
        <v>-4.0384186212080531</v>
      </c>
      <c r="X16" s="24">
        <f t="shared" si="21"/>
        <v>4.0384186212080531</v>
      </c>
      <c r="Y16" s="24">
        <f t="shared" si="22"/>
        <v>5.7715813787919474</v>
      </c>
      <c r="AA16" s="24">
        <f t="shared" si="23"/>
        <v>13.848418621208054</v>
      </c>
      <c r="AB16" s="24">
        <f t="shared" si="24"/>
        <v>1.1490741227384043</v>
      </c>
      <c r="AC16" s="24">
        <v>2.5</v>
      </c>
      <c r="AD16" s="24">
        <f t="shared" si="25"/>
        <v>6.9242093106040272</v>
      </c>
      <c r="AE16" s="24">
        <f t="shared" si="26"/>
        <v>-46.2</v>
      </c>
      <c r="AF16" s="24">
        <f t="shared" si="27"/>
        <v>-1.3509258772615957</v>
      </c>
      <c r="AG16" s="24">
        <f t="shared" si="28"/>
        <v>-79863.005638767907</v>
      </c>
    </row>
    <row r="17" spans="1:33" x14ac:dyDescent="0.25">
      <c r="A17" t="s">
        <v>86</v>
      </c>
      <c r="B17" t="s">
        <v>82</v>
      </c>
      <c r="C17" s="1">
        <v>43637</v>
      </c>
      <c r="D17">
        <v>297</v>
      </c>
      <c r="E17">
        <v>9</v>
      </c>
      <c r="F17" t="s">
        <v>13</v>
      </c>
      <c r="G17">
        <v>177.02</v>
      </c>
      <c r="H17">
        <v>84.26</v>
      </c>
      <c r="I17" t="s">
        <v>20</v>
      </c>
      <c r="J17">
        <v>86.3</v>
      </c>
      <c r="K17">
        <v>24</v>
      </c>
      <c r="L17" s="30">
        <f t="shared" si="0"/>
        <v>3.3003225997117913</v>
      </c>
      <c r="N17" s="29">
        <f t="shared" si="15"/>
        <v>3.3003225997117913</v>
      </c>
      <c r="O17" s="29">
        <f t="shared" si="16"/>
        <v>7.1320471311968046</v>
      </c>
      <c r="R17" s="24">
        <f t="shared" si="17"/>
        <v>37.972000000000001</v>
      </c>
      <c r="S17" s="24">
        <f t="shared" si="18"/>
        <v>0.41866666666666669</v>
      </c>
      <c r="T17" s="24">
        <v>0.14899999999999999</v>
      </c>
      <c r="U17" s="24">
        <v>9.81</v>
      </c>
      <c r="V17" s="24">
        <f t="shared" si="19"/>
        <v>1.393893025239616</v>
      </c>
      <c r="W17" s="24">
        <f t="shared" si="20"/>
        <v>0.45501325342539556</v>
      </c>
      <c r="X17" s="24">
        <f t="shared" si="21"/>
        <v>0.45501325342539556</v>
      </c>
      <c r="Y17" s="24">
        <f t="shared" si="22"/>
        <v>9.354986746574605</v>
      </c>
      <c r="AA17" s="24">
        <f t="shared" si="23"/>
        <v>10.265013253425396</v>
      </c>
      <c r="AB17" s="24">
        <f t="shared" si="24"/>
        <v>12.247517425422437</v>
      </c>
      <c r="AC17" s="24">
        <v>2.5</v>
      </c>
      <c r="AD17" s="24">
        <f t="shared" si="25"/>
        <v>5.132506626712698</v>
      </c>
      <c r="AE17" s="24">
        <f t="shared" si="26"/>
        <v>-37.972000000000001</v>
      </c>
      <c r="AF17" s="24">
        <f t="shared" si="27"/>
        <v>9.747517425422437</v>
      </c>
      <c r="AG17" s="24">
        <f t="shared" si="28"/>
        <v>288542.9547372149</v>
      </c>
    </row>
    <row r="18" spans="1:33" x14ac:dyDescent="0.25">
      <c r="A18" t="s">
        <v>86</v>
      </c>
      <c r="B18" t="s">
        <v>82</v>
      </c>
      <c r="C18" s="1">
        <v>43603</v>
      </c>
      <c r="D18">
        <v>191</v>
      </c>
      <c r="E18">
        <v>8</v>
      </c>
      <c r="F18" t="s">
        <v>18</v>
      </c>
      <c r="G18">
        <v>120.21</v>
      </c>
      <c r="H18">
        <v>92.25</v>
      </c>
      <c r="I18" t="s">
        <v>20</v>
      </c>
      <c r="J18">
        <v>87.3</v>
      </c>
      <c r="K18">
        <v>10</v>
      </c>
      <c r="L18" s="30">
        <f t="shared" si="0"/>
        <v>1.3928331296132419</v>
      </c>
      <c r="N18" s="29">
        <f t="shared" si="15"/>
        <v>1.3928331296132419</v>
      </c>
      <c r="O18" s="29">
        <f t="shared" si="16"/>
        <v>7.6534095991402351</v>
      </c>
      <c r="R18" s="24">
        <f t="shared" si="17"/>
        <v>38.411999999999999</v>
      </c>
      <c r="S18" s="24">
        <f t="shared" si="18"/>
        <v>0.17444444444444446</v>
      </c>
      <c r="T18" s="24">
        <v>0.14899999999999999</v>
      </c>
      <c r="U18" s="24">
        <v>9.81</v>
      </c>
      <c r="V18" s="24">
        <f t="shared" si="19"/>
        <v>1.4263836134866559</v>
      </c>
      <c r="W18" s="24">
        <f t="shared" si="20"/>
        <v>0.23695561418351718</v>
      </c>
      <c r="X18" s="24">
        <f t="shared" si="21"/>
        <v>0.23695561418351718</v>
      </c>
      <c r="Y18" s="24">
        <f t="shared" si="22"/>
        <v>9.573044385816484</v>
      </c>
      <c r="AA18" s="24">
        <f t="shared" si="23"/>
        <v>10.046955614183517</v>
      </c>
      <c r="AB18" s="24">
        <f t="shared" si="24"/>
        <v>2.2341720590132996</v>
      </c>
      <c r="AC18" s="24">
        <v>2.5</v>
      </c>
      <c r="AD18" s="24">
        <f t="shared" si="25"/>
        <v>5.0234778070917585</v>
      </c>
      <c r="AE18" s="24">
        <f t="shared" si="26"/>
        <v>-38.411999999999999</v>
      </c>
      <c r="AF18" s="24">
        <f t="shared" si="27"/>
        <v>-0.26582794098670037</v>
      </c>
      <c r="AG18" s="24">
        <f t="shared" si="28"/>
        <v>-7881.3197427836985</v>
      </c>
    </row>
    <row r="19" spans="1:33" x14ac:dyDescent="0.25">
      <c r="A19" t="s">
        <v>86</v>
      </c>
      <c r="B19" t="s">
        <v>82</v>
      </c>
      <c r="C19" s="1">
        <v>44322</v>
      </c>
      <c r="D19">
        <v>313</v>
      </c>
      <c r="E19">
        <v>8</v>
      </c>
      <c r="F19" t="s">
        <v>13</v>
      </c>
      <c r="G19">
        <v>135.94999999999999</v>
      </c>
      <c r="H19">
        <v>73.56</v>
      </c>
      <c r="I19" t="s">
        <v>17</v>
      </c>
      <c r="J19">
        <v>84.7</v>
      </c>
      <c r="K19">
        <v>32</v>
      </c>
      <c r="L19" s="30">
        <f t="shared" si="0"/>
        <v>6.5177393838583235</v>
      </c>
      <c r="N19" s="29">
        <f t="shared" si="15"/>
        <v>4.3811743520782285</v>
      </c>
      <c r="O19" s="29">
        <f t="shared" si="16"/>
        <v>6.5177393838583235</v>
      </c>
      <c r="R19" s="24">
        <f t="shared" si="17"/>
        <v>37.268000000000001</v>
      </c>
      <c r="S19" s="24">
        <f t="shared" si="18"/>
        <v>0.55822222222222229</v>
      </c>
      <c r="T19" s="24">
        <v>0.14899999999999999</v>
      </c>
      <c r="U19" s="24">
        <v>9.81</v>
      </c>
      <c r="V19" s="24">
        <f t="shared" si="19"/>
        <v>1.342686660352576</v>
      </c>
      <c r="W19" s="24">
        <f t="shared" si="20"/>
        <v>0.79868013186190567</v>
      </c>
      <c r="X19" s="24">
        <f t="shared" si="21"/>
        <v>0.79868013186190567</v>
      </c>
      <c r="Y19" s="24">
        <f t="shared" si="22"/>
        <v>9.011319868138095</v>
      </c>
      <c r="AA19" s="24">
        <f t="shared" si="23"/>
        <v>10.608680131861906</v>
      </c>
      <c r="AB19" s="24">
        <f t="shared" si="24"/>
        <v>20.069829952791849</v>
      </c>
      <c r="AC19" s="24">
        <v>2.5</v>
      </c>
      <c r="AD19" s="24">
        <f t="shared" si="25"/>
        <v>5.304340065930953</v>
      </c>
      <c r="AE19" s="24">
        <f t="shared" si="26"/>
        <v>-37.268000000000001</v>
      </c>
      <c r="AF19" s="24">
        <f t="shared" si="27"/>
        <v>17.569829952791849</v>
      </c>
      <c r="AG19" s="24">
        <f t="shared" si="28"/>
        <v>517763.08409258904</v>
      </c>
    </row>
    <row r="20" spans="1:33" x14ac:dyDescent="0.25">
      <c r="A20" t="s">
        <v>86</v>
      </c>
      <c r="B20" t="s">
        <v>82</v>
      </c>
      <c r="C20" s="1">
        <v>44293</v>
      </c>
      <c r="D20">
        <v>256</v>
      </c>
      <c r="E20">
        <v>8</v>
      </c>
      <c r="F20" t="s">
        <v>22</v>
      </c>
      <c r="G20">
        <v>101.17</v>
      </c>
      <c r="H20">
        <v>64.900000000000006</v>
      </c>
      <c r="I20" t="s">
        <v>20</v>
      </c>
      <c r="J20">
        <v>104.2</v>
      </c>
      <c r="K20">
        <v>11</v>
      </c>
      <c r="L20" s="30">
        <f t="shared" si="0"/>
        <v>2.9234775378792923</v>
      </c>
      <c r="N20" s="29">
        <f t="shared" si="15"/>
        <v>2.9234775378792923</v>
      </c>
      <c r="O20" s="29">
        <f t="shared" si="16"/>
        <v>6.7161105496702085</v>
      </c>
      <c r="R20" s="24">
        <f t="shared" si="17"/>
        <v>45.847999999999999</v>
      </c>
      <c r="S20" s="24">
        <f t="shared" si="18"/>
        <v>0.19188888888888889</v>
      </c>
      <c r="T20" s="24">
        <v>0.14899999999999999</v>
      </c>
      <c r="U20" s="24">
        <v>9.81</v>
      </c>
      <c r="V20" s="24">
        <f t="shared" si="19"/>
        <v>2.0320916507752957</v>
      </c>
      <c r="W20" s="24">
        <f t="shared" si="20"/>
        <v>-3.8281989984919185</v>
      </c>
      <c r="X20" s="24">
        <f t="shared" si="21"/>
        <v>3.8281989984919185</v>
      </c>
      <c r="Y20" s="24">
        <f t="shared" si="22"/>
        <v>5.9818010015080816</v>
      </c>
      <c r="AA20" s="24">
        <f t="shared" si="23"/>
        <v>13.638198998491919</v>
      </c>
      <c r="AB20" s="24">
        <f t="shared" si="24"/>
        <v>2.8369735522160626</v>
      </c>
      <c r="AC20" s="24">
        <v>2.5</v>
      </c>
      <c r="AD20" s="24">
        <f t="shared" si="25"/>
        <v>6.8190994992459597</v>
      </c>
      <c r="AE20" s="24">
        <f t="shared" si="26"/>
        <v>-45.847999999999999</v>
      </c>
      <c r="AF20" s="24">
        <f t="shared" si="27"/>
        <v>0.33697355221606262</v>
      </c>
      <c r="AG20" s="24">
        <f t="shared" si="28"/>
        <v>19320.734192797594</v>
      </c>
    </row>
    <row r="21" spans="1:33" x14ac:dyDescent="0.25">
      <c r="A21" t="s">
        <v>86</v>
      </c>
      <c r="B21" t="s">
        <v>82</v>
      </c>
      <c r="C21" s="1">
        <v>43702</v>
      </c>
      <c r="D21">
        <v>291</v>
      </c>
      <c r="E21">
        <v>7</v>
      </c>
      <c r="F21" t="s">
        <v>13</v>
      </c>
      <c r="G21">
        <v>86.57</v>
      </c>
      <c r="H21">
        <v>82.55</v>
      </c>
      <c r="I21" t="s">
        <v>20</v>
      </c>
      <c r="J21">
        <v>98.3</v>
      </c>
      <c r="K21">
        <v>14</v>
      </c>
      <c r="L21" s="30">
        <f t="shared" si="0"/>
        <v>2.7954247476961434</v>
      </c>
      <c r="N21" s="29">
        <f t="shared" si="15"/>
        <v>2.7954247476961434</v>
      </c>
      <c r="O21" s="29">
        <f t="shared" si="16"/>
        <v>7.0782719779031078</v>
      </c>
      <c r="R21" s="24">
        <f t="shared" si="17"/>
        <v>43.252000000000002</v>
      </c>
      <c r="S21" s="24">
        <f t="shared" si="18"/>
        <v>0.24422222222222223</v>
      </c>
      <c r="T21" s="24">
        <v>0.14899999999999999</v>
      </c>
      <c r="U21" s="24">
        <v>9.81</v>
      </c>
      <c r="V21" s="24">
        <f t="shared" si="19"/>
        <v>1.8084849093688962</v>
      </c>
      <c r="W21" s="24">
        <f t="shared" si="20"/>
        <v>-2.3274826132140687</v>
      </c>
      <c r="X21" s="24">
        <f t="shared" si="21"/>
        <v>2.3274826132140687</v>
      </c>
      <c r="Y21" s="24">
        <f t="shared" si="22"/>
        <v>7.4825173867859318</v>
      </c>
      <c r="AA21" s="24">
        <f t="shared" si="23"/>
        <v>12.137482613214068</v>
      </c>
      <c r="AB21" s="24">
        <f t="shared" si="24"/>
        <v>4.5937420092769292</v>
      </c>
      <c r="AC21" s="24">
        <v>2.5</v>
      </c>
      <c r="AD21" s="24">
        <f t="shared" si="25"/>
        <v>6.0687413066070341</v>
      </c>
      <c r="AE21" s="24">
        <f t="shared" si="26"/>
        <v>-43.252000000000002</v>
      </c>
      <c r="AF21" s="24">
        <f t="shared" si="27"/>
        <v>2.0937420092769292</v>
      </c>
      <c r="AG21" s="24">
        <f t="shared" si="28"/>
        <v>95081.094424931769</v>
      </c>
    </row>
    <row r="22" spans="1:33" x14ac:dyDescent="0.25">
      <c r="A22" t="s">
        <v>86</v>
      </c>
      <c r="B22" t="s">
        <v>82</v>
      </c>
      <c r="C22" s="1">
        <v>43701</v>
      </c>
      <c r="D22">
        <v>269</v>
      </c>
      <c r="E22">
        <v>7</v>
      </c>
      <c r="F22" t="s">
        <v>13</v>
      </c>
      <c r="G22">
        <v>101.11</v>
      </c>
      <c r="H22">
        <v>88.38</v>
      </c>
      <c r="I22" t="s">
        <v>17</v>
      </c>
      <c r="J22">
        <v>81.7</v>
      </c>
      <c r="K22">
        <v>39</v>
      </c>
      <c r="L22" s="30">
        <f t="shared" si="0"/>
        <v>5.6714474930222947</v>
      </c>
      <c r="N22" s="29">
        <f t="shared" si="15"/>
        <v>5.3941833258267344</v>
      </c>
      <c r="O22" s="29">
        <f t="shared" si="16"/>
        <v>5.6714474930222947</v>
      </c>
      <c r="R22" s="24">
        <f t="shared" si="17"/>
        <v>35.948</v>
      </c>
      <c r="S22" s="24">
        <f t="shared" si="18"/>
        <v>0.68033333333333335</v>
      </c>
      <c r="T22" s="24">
        <v>0.14899999999999999</v>
      </c>
      <c r="U22" s="24">
        <v>9.81</v>
      </c>
      <c r="V22" s="24">
        <f t="shared" si="19"/>
        <v>1.2492575033656961</v>
      </c>
      <c r="W22" s="24">
        <f t="shared" si="20"/>
        <v>1.4257214539215024</v>
      </c>
      <c r="X22" s="24">
        <f t="shared" si="21"/>
        <v>1.4257214539215024</v>
      </c>
      <c r="Y22" s="24">
        <f t="shared" si="22"/>
        <v>8.3842785460784981</v>
      </c>
      <c r="AA22" s="24">
        <f t="shared" si="23"/>
        <v>11.235721453921503</v>
      </c>
      <c r="AB22" s="24">
        <f t="shared" si="24"/>
        <v>25.676925210376297</v>
      </c>
      <c r="AC22" s="24">
        <v>2.5</v>
      </c>
      <c r="AD22" s="24">
        <f t="shared" si="25"/>
        <v>5.6178607269607514</v>
      </c>
      <c r="AE22" s="24">
        <f t="shared" si="26"/>
        <v>-35.948</v>
      </c>
      <c r="AF22" s="24">
        <f t="shared" si="27"/>
        <v>23.176925210376297</v>
      </c>
      <c r="AG22" s="24">
        <f t="shared" si="28"/>
        <v>673032.82347052533</v>
      </c>
    </row>
    <row r="23" spans="1:33" x14ac:dyDescent="0.25">
      <c r="A23" t="s">
        <v>86</v>
      </c>
      <c r="B23" t="s">
        <v>82</v>
      </c>
      <c r="C23" s="1">
        <v>43700</v>
      </c>
      <c r="D23">
        <v>327</v>
      </c>
      <c r="E23">
        <v>8</v>
      </c>
      <c r="F23" t="s">
        <v>13</v>
      </c>
      <c r="G23">
        <v>111.62</v>
      </c>
      <c r="H23">
        <v>61.18</v>
      </c>
      <c r="I23" t="s">
        <v>17</v>
      </c>
      <c r="J23">
        <v>95</v>
      </c>
      <c r="K23">
        <v>33</v>
      </c>
      <c r="L23" s="30">
        <f t="shared" si="0"/>
        <v>6.7878647212331238</v>
      </c>
      <c r="N23" s="29">
        <f t="shared" si="15"/>
        <v>5.4940408124725408</v>
      </c>
      <c r="O23" s="29">
        <f t="shared" si="16"/>
        <v>6.7878647212331238</v>
      </c>
      <c r="R23" s="24">
        <f t="shared" si="17"/>
        <v>41.8</v>
      </c>
      <c r="S23" s="24">
        <f t="shared" si="18"/>
        <v>0.57566666666666666</v>
      </c>
      <c r="T23" s="24">
        <v>0.14899999999999999</v>
      </c>
      <c r="U23" s="24">
        <v>9.81</v>
      </c>
      <c r="V23" s="24">
        <f t="shared" si="19"/>
        <v>1.6890988417599997</v>
      </c>
      <c r="W23" s="24">
        <f t="shared" si="20"/>
        <v>-1.5262338373154347</v>
      </c>
      <c r="X23" s="24">
        <f t="shared" si="21"/>
        <v>1.5262338373154347</v>
      </c>
      <c r="Y23" s="24">
        <f t="shared" si="22"/>
        <v>8.2837661626845662</v>
      </c>
      <c r="AA23" s="24">
        <f t="shared" si="23"/>
        <v>11.336233837315435</v>
      </c>
      <c r="AB23" s="24">
        <f t="shared" si="24"/>
        <v>25.073649146545883</v>
      </c>
      <c r="AC23" s="24">
        <v>2.5</v>
      </c>
      <c r="AD23" s="24">
        <f t="shared" si="25"/>
        <v>5.6681169186577174</v>
      </c>
      <c r="AE23" s="24">
        <f t="shared" si="26"/>
        <v>-41.8</v>
      </c>
      <c r="AF23" s="24">
        <f t="shared" si="27"/>
        <v>22.573649146545883</v>
      </c>
      <c r="AG23" s="24">
        <f t="shared" si="28"/>
        <v>894238.00959127734</v>
      </c>
    </row>
    <row r="24" spans="1:33" x14ac:dyDescent="0.25">
      <c r="A24" t="s">
        <v>86</v>
      </c>
      <c r="B24" t="s">
        <v>82</v>
      </c>
      <c r="C24" s="1">
        <v>43700</v>
      </c>
      <c r="D24">
        <v>295</v>
      </c>
      <c r="E24">
        <v>9</v>
      </c>
      <c r="F24" t="s">
        <v>65</v>
      </c>
      <c r="G24">
        <v>192.4</v>
      </c>
      <c r="H24">
        <v>93.21</v>
      </c>
      <c r="I24" t="s">
        <v>17</v>
      </c>
      <c r="J24">
        <v>92.2</v>
      </c>
      <c r="K24">
        <v>36</v>
      </c>
      <c r="L24" s="30">
        <f t="shared" si="0"/>
        <v>6.8580974870445575</v>
      </c>
      <c r="N24" s="29">
        <f t="shared" si="15"/>
        <v>5.3308860186694318</v>
      </c>
      <c r="O24" s="29">
        <f t="shared" si="16"/>
        <v>6.8580974870445575</v>
      </c>
      <c r="R24" s="24">
        <f t="shared" si="17"/>
        <v>40.568000000000005</v>
      </c>
      <c r="S24" s="24">
        <f t="shared" si="18"/>
        <v>0.628</v>
      </c>
      <c r="T24" s="24">
        <v>0.14899999999999999</v>
      </c>
      <c r="U24" s="24">
        <v>9.81</v>
      </c>
      <c r="V24" s="24">
        <f t="shared" si="19"/>
        <v>1.5909982269237763</v>
      </c>
      <c r="W24" s="24">
        <f t="shared" si="20"/>
        <v>-0.86784044915286185</v>
      </c>
      <c r="X24" s="24">
        <f t="shared" si="21"/>
        <v>0.86784044915286185</v>
      </c>
      <c r="Y24" s="24">
        <f t="shared" si="22"/>
        <v>8.9421595508471388</v>
      </c>
      <c r="AA24" s="24">
        <f t="shared" si="23"/>
        <v>10.677840449152862</v>
      </c>
      <c r="AB24" s="24">
        <f t="shared" si="24"/>
        <v>29.611188375792221</v>
      </c>
      <c r="AC24" s="24">
        <v>2.5</v>
      </c>
      <c r="AD24" s="24">
        <f t="shared" si="25"/>
        <v>5.3389202245764311</v>
      </c>
      <c r="AE24" s="24">
        <f t="shared" si="26"/>
        <v>-40.568000000000005</v>
      </c>
      <c r="AF24" s="24">
        <f t="shared" si="27"/>
        <v>27.111188375792221</v>
      </c>
      <c r="AG24" s="24">
        <f t="shared" si="28"/>
        <v>952860.16774401627</v>
      </c>
    </row>
    <row r="25" spans="1:33" x14ac:dyDescent="0.25">
      <c r="A25" t="s">
        <v>86</v>
      </c>
      <c r="B25" t="s">
        <v>82</v>
      </c>
      <c r="C25" s="1">
        <v>43700</v>
      </c>
      <c r="D25">
        <v>289</v>
      </c>
      <c r="E25">
        <v>9</v>
      </c>
      <c r="F25" t="s">
        <v>13</v>
      </c>
      <c r="G25">
        <v>200.16</v>
      </c>
      <c r="H25">
        <v>101.1</v>
      </c>
      <c r="I25" t="s">
        <v>17</v>
      </c>
      <c r="J25">
        <v>84.1</v>
      </c>
      <c r="K25">
        <v>33</v>
      </c>
      <c r="L25" s="30">
        <f t="shared" si="0"/>
        <v>6.358889580136144</v>
      </c>
      <c r="N25" s="29">
        <f t="shared" si="15"/>
        <v>4.5350128920116335</v>
      </c>
      <c r="O25" s="29">
        <f t="shared" si="16"/>
        <v>6.358889580136144</v>
      </c>
      <c r="R25" s="24">
        <f t="shared" si="17"/>
        <v>37.003999999999998</v>
      </c>
      <c r="S25" s="24">
        <f t="shared" si="18"/>
        <v>0.57566666666666666</v>
      </c>
      <c r="T25" s="24">
        <v>0.14899999999999999</v>
      </c>
      <c r="U25" s="24">
        <v>9.81</v>
      </c>
      <c r="V25" s="24">
        <f t="shared" si="19"/>
        <v>1.3237313217715838</v>
      </c>
      <c r="W25" s="24">
        <f t="shared" si="20"/>
        <v>0.92589716931822907</v>
      </c>
      <c r="X25" s="24">
        <f t="shared" si="21"/>
        <v>0.92589716931822907</v>
      </c>
      <c r="Y25" s="24">
        <f t="shared" si="22"/>
        <v>8.8841028306817709</v>
      </c>
      <c r="AA25" s="24">
        <f t="shared" si="23"/>
        <v>10.73589716931823</v>
      </c>
      <c r="AB25" s="24">
        <f t="shared" si="24"/>
        <v>20.74879014256577</v>
      </c>
      <c r="AC25" s="24">
        <v>2.5</v>
      </c>
      <c r="AD25" s="24">
        <f t="shared" si="25"/>
        <v>5.3679485846591151</v>
      </c>
      <c r="AE25" s="24">
        <f t="shared" si="26"/>
        <v>-37.003999999999998</v>
      </c>
      <c r="AF25" s="24">
        <f t="shared" si="27"/>
        <v>18.24879014256577</v>
      </c>
      <c r="AG25" s="24">
        <f t="shared" si="28"/>
        <v>536537.10329611239</v>
      </c>
    </row>
    <row r="26" spans="1:33" x14ac:dyDescent="0.25">
      <c r="A26" t="s">
        <v>86</v>
      </c>
      <c r="B26" t="s">
        <v>82</v>
      </c>
      <c r="C26" s="1">
        <v>43673</v>
      </c>
      <c r="D26">
        <v>191</v>
      </c>
      <c r="E26">
        <v>9</v>
      </c>
      <c r="F26" t="s">
        <v>18</v>
      </c>
      <c r="G26">
        <v>169.03</v>
      </c>
      <c r="H26">
        <v>88.5</v>
      </c>
      <c r="I26" t="s">
        <v>20</v>
      </c>
      <c r="J26">
        <v>92</v>
      </c>
      <c r="K26">
        <v>11</v>
      </c>
      <c r="L26" s="30">
        <f t="shared" si="0"/>
        <v>1.7177810097735446</v>
      </c>
      <c r="N26" s="29">
        <f t="shared" si="15"/>
        <v>1.7177810097735446</v>
      </c>
      <c r="O26" s="29">
        <f t="shared" si="16"/>
        <v>7.6067252095177791</v>
      </c>
      <c r="R26" s="24">
        <f t="shared" si="17"/>
        <v>40.479999999999997</v>
      </c>
      <c r="S26" s="24">
        <f t="shared" si="18"/>
        <v>0.19188888888888889</v>
      </c>
      <c r="T26" s="24">
        <v>0.14899999999999999</v>
      </c>
      <c r="U26" s="24">
        <v>9.81</v>
      </c>
      <c r="V26" s="24">
        <f t="shared" si="19"/>
        <v>1.5841033348095996</v>
      </c>
      <c r="W26" s="24">
        <f t="shared" si="20"/>
        <v>-0.82156600543355507</v>
      </c>
      <c r="X26" s="24">
        <f t="shared" si="21"/>
        <v>0.82156600543355507</v>
      </c>
      <c r="Y26" s="24">
        <f t="shared" si="22"/>
        <v>8.9884339945664458</v>
      </c>
      <c r="AA26" s="24">
        <f t="shared" si="23"/>
        <v>10.631566005433555</v>
      </c>
      <c r="AB26" s="24">
        <f t="shared" si="24"/>
        <v>2.8369735522160626</v>
      </c>
      <c r="AC26" s="24">
        <v>2.5</v>
      </c>
      <c r="AD26" s="24">
        <f t="shared" si="25"/>
        <v>5.3157830027167776</v>
      </c>
      <c r="AE26" s="24">
        <f t="shared" si="26"/>
        <v>-40.479999999999997</v>
      </c>
      <c r="AF26" s="24">
        <f t="shared" si="27"/>
        <v>0.33697355221606262</v>
      </c>
      <c r="AG26" s="24">
        <f t="shared" si="28"/>
        <v>11740.972185967254</v>
      </c>
    </row>
    <row r="27" spans="1:33" x14ac:dyDescent="0.25">
      <c r="A27" t="s">
        <v>86</v>
      </c>
      <c r="B27" t="s">
        <v>82</v>
      </c>
      <c r="C27" s="1">
        <v>44089</v>
      </c>
      <c r="D27">
        <v>301</v>
      </c>
      <c r="E27">
        <v>8</v>
      </c>
      <c r="F27" t="s">
        <v>13</v>
      </c>
      <c r="G27">
        <v>120.4</v>
      </c>
      <c r="H27">
        <v>72.45</v>
      </c>
      <c r="I27" t="s">
        <v>17</v>
      </c>
      <c r="J27">
        <v>81.5</v>
      </c>
      <c r="K27">
        <v>30</v>
      </c>
      <c r="L27" s="30">
        <f t="shared" si="0"/>
        <v>5.9765604678874036</v>
      </c>
      <c r="N27" s="29">
        <f t="shared" si="15"/>
        <v>4.2960937534891395</v>
      </c>
      <c r="O27" s="29">
        <f t="shared" si="16"/>
        <v>5.9765604678874036</v>
      </c>
      <c r="R27" s="24">
        <f t="shared" si="17"/>
        <v>35.86</v>
      </c>
      <c r="S27" s="24">
        <f t="shared" si="18"/>
        <v>0.52333333333333332</v>
      </c>
      <c r="T27" s="24">
        <v>0.14899999999999999</v>
      </c>
      <c r="U27" s="24">
        <v>9.81</v>
      </c>
      <c r="V27" s="24">
        <f t="shared" si="19"/>
        <v>1.2431486738703998</v>
      </c>
      <c r="W27" s="24">
        <f t="shared" si="20"/>
        <v>1.4667203095946315</v>
      </c>
      <c r="X27" s="24">
        <f t="shared" si="21"/>
        <v>1.4667203095946315</v>
      </c>
      <c r="Y27" s="24">
        <f t="shared" si="22"/>
        <v>8.3432796904053692</v>
      </c>
      <c r="AA27" s="24">
        <f t="shared" si="23"/>
        <v>11.276720309594632</v>
      </c>
      <c r="AB27" s="24">
        <f t="shared" si="24"/>
        <v>15.42132131182373</v>
      </c>
      <c r="AC27" s="24">
        <v>2.5</v>
      </c>
      <c r="AD27" s="24">
        <f t="shared" si="25"/>
        <v>5.6383601547973159</v>
      </c>
      <c r="AE27" s="24">
        <f t="shared" si="26"/>
        <v>-35.86</v>
      </c>
      <c r="AF27" s="24">
        <f t="shared" si="27"/>
        <v>12.92132131182373</v>
      </c>
      <c r="AG27" s="24">
        <f t="shared" si="28"/>
        <v>374748.84348172118</v>
      </c>
    </row>
    <row r="28" spans="1:33" x14ac:dyDescent="0.25">
      <c r="A28" t="s">
        <v>86</v>
      </c>
      <c r="B28" t="s">
        <v>82</v>
      </c>
      <c r="C28" s="1">
        <v>44078</v>
      </c>
      <c r="D28">
        <v>366</v>
      </c>
      <c r="E28">
        <v>8</v>
      </c>
      <c r="F28" t="s">
        <v>13</v>
      </c>
      <c r="G28">
        <v>120.24</v>
      </c>
      <c r="H28">
        <v>43.61</v>
      </c>
      <c r="I28" t="s">
        <v>17</v>
      </c>
      <c r="J28">
        <v>92</v>
      </c>
      <c r="K28">
        <v>27</v>
      </c>
      <c r="L28" s="30">
        <f t="shared" si="0"/>
        <v>7.2394094623535201</v>
      </c>
      <c r="N28" s="29">
        <f t="shared" si="15"/>
        <v>4.0872344070440239</v>
      </c>
      <c r="O28" s="29">
        <f t="shared" si="16"/>
        <v>7.2394094623535201</v>
      </c>
      <c r="R28" s="24">
        <f t="shared" si="17"/>
        <v>40.479999999999997</v>
      </c>
      <c r="S28" s="24">
        <f t="shared" si="18"/>
        <v>0.47100000000000003</v>
      </c>
      <c r="T28" s="24">
        <v>0.14899999999999999</v>
      </c>
      <c r="U28" s="24">
        <v>9.81</v>
      </c>
      <c r="V28" s="24">
        <f t="shared" si="19"/>
        <v>1.5841033348095996</v>
      </c>
      <c r="W28" s="24">
        <f t="shared" si="20"/>
        <v>-0.82156600543355507</v>
      </c>
      <c r="X28" s="24">
        <f t="shared" si="21"/>
        <v>0.82156600543355507</v>
      </c>
      <c r="Y28" s="24">
        <f t="shared" si="22"/>
        <v>8.9884339945664458</v>
      </c>
      <c r="AA28" s="24">
        <f t="shared" si="23"/>
        <v>10.631566005433555</v>
      </c>
      <c r="AB28" s="24">
        <f t="shared" si="24"/>
        <v>16.95616124042834</v>
      </c>
      <c r="AC28" s="24">
        <v>2.5</v>
      </c>
      <c r="AD28" s="24">
        <f t="shared" si="25"/>
        <v>5.3157830027167776</v>
      </c>
      <c r="AE28" s="24">
        <f t="shared" si="26"/>
        <v>-40.479999999999997</v>
      </c>
      <c r="AF28" s="24">
        <f t="shared" si="27"/>
        <v>14.45616124042834</v>
      </c>
      <c r="AG28" s="24">
        <f t="shared" si="28"/>
        <v>503687.56219449226</v>
      </c>
    </row>
    <row r="29" spans="1:33" x14ac:dyDescent="0.25">
      <c r="A29" t="s">
        <v>86</v>
      </c>
      <c r="B29" t="s">
        <v>82</v>
      </c>
      <c r="C29" s="1">
        <v>44071</v>
      </c>
      <c r="D29">
        <v>260</v>
      </c>
      <c r="E29">
        <v>9</v>
      </c>
      <c r="F29" t="s">
        <v>18</v>
      </c>
      <c r="G29">
        <v>204.23</v>
      </c>
      <c r="H29">
        <v>99.52</v>
      </c>
      <c r="I29" t="s">
        <v>20</v>
      </c>
      <c r="J29">
        <v>89.3</v>
      </c>
      <c r="K29">
        <v>19</v>
      </c>
      <c r="L29" s="30">
        <f t="shared" si="0"/>
        <v>2.6628290430047685</v>
      </c>
      <c r="N29" s="29">
        <f t="shared" si="15"/>
        <v>2.6628290430047685</v>
      </c>
      <c r="O29" s="29">
        <f t="shared" si="16"/>
        <v>7.6908580074000508</v>
      </c>
      <c r="R29" s="24">
        <f t="shared" si="17"/>
        <v>39.292000000000002</v>
      </c>
      <c r="S29" s="24">
        <f t="shared" si="18"/>
        <v>0.33144444444444449</v>
      </c>
      <c r="T29" s="24">
        <v>0.14899999999999999</v>
      </c>
      <c r="U29" s="24">
        <v>9.81</v>
      </c>
      <c r="V29" s="24">
        <f t="shared" si="19"/>
        <v>1.492487736579136</v>
      </c>
      <c r="W29" s="24">
        <f t="shared" si="20"/>
        <v>-0.20669621865192009</v>
      </c>
      <c r="X29" s="24">
        <f t="shared" si="21"/>
        <v>0.20669621865192009</v>
      </c>
      <c r="Y29" s="24">
        <f t="shared" si="22"/>
        <v>9.6033037813480799</v>
      </c>
      <c r="AA29" s="24">
        <f t="shared" si="23"/>
        <v>10.016696218651921</v>
      </c>
      <c r="AB29" s="24">
        <f t="shared" si="24"/>
        <v>8.4489235798240419</v>
      </c>
      <c r="AC29" s="24">
        <v>2.5</v>
      </c>
      <c r="AD29" s="24">
        <f t="shared" si="25"/>
        <v>5.0083481093259605</v>
      </c>
      <c r="AE29" s="24">
        <f t="shared" si="26"/>
        <v>-39.292000000000002</v>
      </c>
      <c r="AF29" s="24">
        <f t="shared" si="27"/>
        <v>5.9489235798240419</v>
      </c>
      <c r="AG29" s="24">
        <f t="shared" si="28"/>
        <v>183992.94013298955</v>
      </c>
    </row>
    <row r="30" spans="1:33" x14ac:dyDescent="0.25">
      <c r="A30" t="s">
        <v>86</v>
      </c>
      <c r="B30" t="s">
        <v>82</v>
      </c>
      <c r="C30" s="1">
        <v>43675</v>
      </c>
      <c r="D30">
        <v>284</v>
      </c>
      <c r="E30">
        <v>7</v>
      </c>
      <c r="F30" t="s">
        <v>22</v>
      </c>
      <c r="G30">
        <v>47.57</v>
      </c>
      <c r="H30">
        <v>106.8</v>
      </c>
      <c r="I30" t="s">
        <v>20</v>
      </c>
      <c r="J30">
        <v>107.5</v>
      </c>
      <c r="K30">
        <v>16</v>
      </c>
      <c r="L30" s="30">
        <f t="shared" si="0"/>
        <v>5.105991095998287</v>
      </c>
      <c r="N30" s="29">
        <f t="shared" si="15"/>
        <v>5.105991095998287</v>
      </c>
      <c r="O30" s="29">
        <f t="shared" si="16"/>
        <v>6.4422725632892881</v>
      </c>
      <c r="R30" s="24">
        <f t="shared" si="17"/>
        <v>47.3</v>
      </c>
      <c r="S30" s="24">
        <f t="shared" si="18"/>
        <v>0.27911111111111114</v>
      </c>
      <c r="T30" s="24">
        <v>0.14899999999999999</v>
      </c>
      <c r="U30" s="24">
        <v>9.81</v>
      </c>
      <c r="V30" s="24">
        <f t="shared" si="19"/>
        <v>2.1628419379599992</v>
      </c>
      <c r="W30" s="24">
        <f t="shared" si="20"/>
        <v>-4.7057177044295253</v>
      </c>
      <c r="X30" s="24">
        <f t="shared" si="21"/>
        <v>4.7057177044295253</v>
      </c>
      <c r="Y30" s="24">
        <f t="shared" si="22"/>
        <v>5.1042822955704752</v>
      </c>
      <c r="AA30" s="24">
        <f t="shared" si="23"/>
        <v>14.515717704429527</v>
      </c>
      <c r="AB30" s="24">
        <f t="shared" si="24"/>
        <v>5.9974778734458409</v>
      </c>
      <c r="AC30" s="24">
        <v>2.5</v>
      </c>
      <c r="AD30" s="24">
        <f t="shared" si="25"/>
        <v>7.2578588522147633</v>
      </c>
      <c r="AE30" s="24">
        <f t="shared" si="26"/>
        <v>-47.3</v>
      </c>
      <c r="AF30" s="24">
        <f t="shared" si="27"/>
        <v>3.4974778734458409</v>
      </c>
      <c r="AG30" s="24">
        <f t="shared" si="28"/>
        <v>227167.27393209157</v>
      </c>
    </row>
    <row r="31" spans="1:33" x14ac:dyDescent="0.25">
      <c r="A31" t="s">
        <v>86</v>
      </c>
      <c r="B31" t="s">
        <v>82</v>
      </c>
      <c r="C31" s="1">
        <v>43602</v>
      </c>
      <c r="D31">
        <v>253</v>
      </c>
      <c r="E31">
        <v>8</v>
      </c>
      <c r="F31" t="s">
        <v>13</v>
      </c>
      <c r="G31">
        <v>118.35</v>
      </c>
      <c r="H31">
        <v>93.61</v>
      </c>
      <c r="I31" t="s">
        <v>17</v>
      </c>
      <c r="J31">
        <v>72</v>
      </c>
      <c r="K31">
        <v>31</v>
      </c>
      <c r="L31" s="30">
        <f t="shared" si="0"/>
        <v>4.5471118559015551</v>
      </c>
      <c r="N31" s="29">
        <f t="shared" si="15"/>
        <v>5.0092142968443722</v>
      </c>
      <c r="O31" s="29">
        <f t="shared" si="16"/>
        <v>4.5471118559015551</v>
      </c>
      <c r="R31" s="24">
        <f t="shared" si="17"/>
        <v>31.68</v>
      </c>
      <c r="S31" s="24">
        <f t="shared" si="18"/>
        <v>0.5407777777777778</v>
      </c>
      <c r="T31" s="24">
        <v>0.14899999999999999</v>
      </c>
      <c r="U31" s="24">
        <v>9.81</v>
      </c>
      <c r="V31" s="24">
        <f t="shared" si="19"/>
        <v>0.97022586101759989</v>
      </c>
      <c r="W31" s="24">
        <f t="shared" si="20"/>
        <v>3.2984170401503361</v>
      </c>
      <c r="X31" s="24">
        <f t="shared" si="21"/>
        <v>3.2984170401503361</v>
      </c>
      <c r="Y31" s="24">
        <f t="shared" si="22"/>
        <v>6.5115829598496644</v>
      </c>
      <c r="AA31" s="24">
        <f t="shared" si="23"/>
        <v>13.108417040150336</v>
      </c>
      <c r="AB31" s="24">
        <f t="shared" si="24"/>
        <v>11.036205474766088</v>
      </c>
      <c r="AC31" s="24">
        <v>2.5</v>
      </c>
      <c r="AD31" s="24">
        <f t="shared" si="25"/>
        <v>6.5542085200751679</v>
      </c>
      <c r="AE31" s="24">
        <f t="shared" si="26"/>
        <v>-31.68</v>
      </c>
      <c r="AF31" s="24">
        <f t="shared" si="27"/>
        <v>8.5362054747660885</v>
      </c>
      <c r="AG31" s="24">
        <f t="shared" si="28"/>
        <v>224602.9477718134</v>
      </c>
    </row>
    <row r="32" spans="1:33" x14ac:dyDescent="0.25">
      <c r="A32" t="s">
        <v>86</v>
      </c>
      <c r="B32" t="s">
        <v>82</v>
      </c>
      <c r="C32" s="1">
        <v>43602</v>
      </c>
      <c r="D32">
        <v>362</v>
      </c>
      <c r="E32">
        <v>8</v>
      </c>
      <c r="F32" t="s">
        <v>13</v>
      </c>
      <c r="G32">
        <v>104.32</v>
      </c>
      <c r="H32">
        <v>46.92</v>
      </c>
      <c r="I32" t="s">
        <v>17</v>
      </c>
      <c r="J32">
        <v>93.4</v>
      </c>
      <c r="K32">
        <v>32</v>
      </c>
      <c r="L32" s="30">
        <f t="shared" si="0"/>
        <v>6.9457211995004977</v>
      </c>
      <c r="N32" s="29">
        <f t="shared" si="15"/>
        <v>5.025786566499904</v>
      </c>
      <c r="O32" s="29">
        <f t="shared" si="16"/>
        <v>6.9457211995004977</v>
      </c>
      <c r="R32" s="24">
        <f t="shared" si="17"/>
        <v>41.096000000000004</v>
      </c>
      <c r="S32" s="24">
        <f t="shared" si="18"/>
        <v>0.55822222222222229</v>
      </c>
      <c r="T32" s="24">
        <v>0.14899999999999999</v>
      </c>
      <c r="U32" s="24">
        <v>9.81</v>
      </c>
      <c r="V32" s="24">
        <f t="shared" si="19"/>
        <v>1.6326820046563841</v>
      </c>
      <c r="W32" s="24">
        <f t="shared" si="20"/>
        <v>-1.1475973466871423</v>
      </c>
      <c r="X32" s="24">
        <f t="shared" si="21"/>
        <v>1.1475973466871423</v>
      </c>
      <c r="Y32" s="24">
        <f t="shared" si="22"/>
        <v>8.6624026533128582</v>
      </c>
      <c r="AA32" s="24">
        <f t="shared" si="23"/>
        <v>10.957597346687143</v>
      </c>
      <c r="AB32" s="24">
        <f t="shared" si="24"/>
        <v>23.627438531268332</v>
      </c>
      <c r="AC32" s="24">
        <v>2.5</v>
      </c>
      <c r="AD32" s="24">
        <f t="shared" si="25"/>
        <v>5.4787986733435714</v>
      </c>
      <c r="AE32" s="24">
        <f t="shared" si="26"/>
        <v>-41.096000000000004</v>
      </c>
      <c r="AF32" s="24">
        <f t="shared" si="27"/>
        <v>21.127438531268332</v>
      </c>
      <c r="AG32" s="24">
        <f t="shared" si="28"/>
        <v>781972.14930898917</v>
      </c>
    </row>
    <row r="33" spans="1:33" x14ac:dyDescent="0.25">
      <c r="A33" t="s">
        <v>86</v>
      </c>
      <c r="B33" t="s">
        <v>82</v>
      </c>
      <c r="C33" s="1">
        <v>44363</v>
      </c>
      <c r="D33">
        <v>314</v>
      </c>
      <c r="E33">
        <v>7</v>
      </c>
      <c r="F33" t="s">
        <v>13</v>
      </c>
      <c r="G33">
        <v>72.75</v>
      </c>
      <c r="H33">
        <v>83.77</v>
      </c>
      <c r="I33" t="s">
        <v>20</v>
      </c>
      <c r="J33">
        <v>90.7</v>
      </c>
      <c r="K33">
        <v>21</v>
      </c>
      <c r="L33" s="30">
        <f t="shared" si="0"/>
        <v>3.078535901307152</v>
      </c>
      <c r="N33" s="29">
        <f t="shared" si="15"/>
        <v>3.078535901307152</v>
      </c>
      <c r="O33" s="29">
        <f t="shared" si="16"/>
        <v>7.5232510423261969</v>
      </c>
      <c r="R33" s="24">
        <f t="shared" si="17"/>
        <v>39.908000000000001</v>
      </c>
      <c r="S33" s="24">
        <f t="shared" si="18"/>
        <v>0.36633333333333334</v>
      </c>
      <c r="T33" s="24">
        <v>0.14899999999999999</v>
      </c>
      <c r="U33" s="24">
        <v>9.81</v>
      </c>
      <c r="V33" s="24">
        <f t="shared" si="19"/>
        <v>1.5396514937119361</v>
      </c>
      <c r="W33" s="24">
        <f t="shared" si="20"/>
        <v>-0.52323150142239039</v>
      </c>
      <c r="X33" s="24">
        <f t="shared" si="21"/>
        <v>0.52323150142239039</v>
      </c>
      <c r="Y33" s="24">
        <f t="shared" si="22"/>
        <v>9.2867684985776098</v>
      </c>
      <c r="AA33" s="24">
        <f t="shared" si="23"/>
        <v>10.333231501422391</v>
      </c>
      <c r="AB33" s="24">
        <f t="shared" si="24"/>
        <v>10.311035467955616</v>
      </c>
      <c r="AC33" s="24">
        <v>2.5</v>
      </c>
      <c r="AD33" s="24">
        <f t="shared" si="25"/>
        <v>5.1666157507111956</v>
      </c>
      <c r="AE33" s="24">
        <f t="shared" si="26"/>
        <v>-39.908000000000001</v>
      </c>
      <c r="AF33" s="24">
        <f t="shared" si="27"/>
        <v>7.811035467955616</v>
      </c>
      <c r="AG33" s="24">
        <f t="shared" si="28"/>
        <v>257095.62827377836</v>
      </c>
    </row>
    <row r="34" spans="1:33" x14ac:dyDescent="0.25">
      <c r="A34" t="s">
        <v>86</v>
      </c>
      <c r="B34" t="s">
        <v>82</v>
      </c>
      <c r="C34" s="1">
        <v>44362</v>
      </c>
      <c r="D34">
        <v>356</v>
      </c>
      <c r="E34">
        <v>9</v>
      </c>
      <c r="F34" t="s">
        <v>66</v>
      </c>
      <c r="G34">
        <v>197.94</v>
      </c>
      <c r="H34">
        <v>73.97</v>
      </c>
      <c r="I34" t="s">
        <v>20</v>
      </c>
      <c r="J34">
        <v>101.9</v>
      </c>
      <c r="K34">
        <v>22</v>
      </c>
      <c r="L34" s="30">
        <f t="shared" si="0"/>
        <v>5.1048169938179235</v>
      </c>
      <c r="N34" s="29">
        <f t="shared" si="15"/>
        <v>5.1048169938179235</v>
      </c>
      <c r="O34" s="29">
        <f t="shared" si="16"/>
        <v>6.6727818357618078</v>
      </c>
      <c r="R34" s="24">
        <f t="shared" si="17"/>
        <v>44.836000000000006</v>
      </c>
      <c r="S34" s="24">
        <f t="shared" si="18"/>
        <v>0.38377777777777777</v>
      </c>
      <c r="T34" s="24">
        <v>0.14899999999999999</v>
      </c>
      <c r="U34" s="24">
        <v>9.81</v>
      </c>
      <c r="V34" s="24">
        <f t="shared" si="19"/>
        <v>1.9433732547687044</v>
      </c>
      <c r="W34" s="24">
        <f t="shared" si="20"/>
        <v>-3.2327735219376139</v>
      </c>
      <c r="X34" s="24">
        <f t="shared" si="21"/>
        <v>3.2327735219376139</v>
      </c>
      <c r="Y34" s="24">
        <f t="shared" si="22"/>
        <v>6.5772264780623866</v>
      </c>
      <c r="AA34" s="24">
        <f t="shared" si="23"/>
        <v>13.042773521937615</v>
      </c>
      <c r="AB34" s="24">
        <f t="shared" si="24"/>
        <v>11.309465816725126</v>
      </c>
      <c r="AC34" s="24">
        <v>2.5</v>
      </c>
      <c r="AD34" s="24">
        <f t="shared" si="25"/>
        <v>6.5213867609688076</v>
      </c>
      <c r="AE34" s="24">
        <f t="shared" si="26"/>
        <v>-44.836000000000006</v>
      </c>
      <c r="AF34" s="24">
        <f t="shared" si="27"/>
        <v>8.8094658167251261</v>
      </c>
      <c r="AG34" s="24">
        <f t="shared" si="28"/>
        <v>461958.79996719497</v>
      </c>
    </row>
    <row r="35" spans="1:33" x14ac:dyDescent="0.25">
      <c r="A35" t="s">
        <v>86</v>
      </c>
      <c r="B35" t="s">
        <v>82</v>
      </c>
      <c r="C35" s="1">
        <v>44347</v>
      </c>
      <c r="D35">
        <v>355</v>
      </c>
      <c r="E35">
        <v>8</v>
      </c>
      <c r="F35" t="s">
        <v>13</v>
      </c>
      <c r="G35">
        <v>134.28</v>
      </c>
      <c r="H35">
        <v>56.1</v>
      </c>
      <c r="I35" t="s">
        <v>17</v>
      </c>
      <c r="J35">
        <v>96.3</v>
      </c>
      <c r="K35">
        <v>31</v>
      </c>
      <c r="L35" s="30">
        <f t="shared" si="0"/>
        <v>6.7753865290463668</v>
      </c>
      <c r="N35" s="29">
        <f t="shared" si="15"/>
        <v>5.4728809587831941</v>
      </c>
      <c r="O35" s="29">
        <f t="shared" si="16"/>
        <v>6.7753865290463668</v>
      </c>
      <c r="R35" s="24">
        <f t="shared" si="17"/>
        <v>42.372</v>
      </c>
      <c r="S35" s="24">
        <f t="shared" si="18"/>
        <v>0.5407777777777778</v>
      </c>
      <c r="T35" s="24">
        <v>0.14899999999999999</v>
      </c>
      <c r="U35" s="24">
        <v>9.81</v>
      </c>
      <c r="V35" s="24">
        <f t="shared" si="19"/>
        <v>1.7356431066860158</v>
      </c>
      <c r="W35" s="24">
        <f t="shared" si="20"/>
        <v>-1.8386114542685632</v>
      </c>
      <c r="X35" s="24">
        <f t="shared" si="21"/>
        <v>1.8386114542685632</v>
      </c>
      <c r="Y35" s="24">
        <f t="shared" si="22"/>
        <v>7.9713885457314371</v>
      </c>
      <c r="AA35" s="24">
        <f t="shared" si="23"/>
        <v>11.648611454268563</v>
      </c>
      <c r="AB35" s="24">
        <f t="shared" si="24"/>
        <v>22.216899453794905</v>
      </c>
      <c r="AC35" s="24">
        <v>2.5</v>
      </c>
      <c r="AD35" s="24">
        <f t="shared" si="25"/>
        <v>5.8243057271342815</v>
      </c>
      <c r="AE35" s="24">
        <f t="shared" si="26"/>
        <v>-42.372</v>
      </c>
      <c r="AF35" s="24">
        <f t="shared" si="27"/>
        <v>19.716899453794905</v>
      </c>
      <c r="AG35" s="24">
        <f t="shared" si="28"/>
        <v>824708.9430489412</v>
      </c>
    </row>
    <row r="36" spans="1:33" x14ac:dyDescent="0.25">
      <c r="A36" t="s">
        <v>86</v>
      </c>
      <c r="B36" t="s">
        <v>82</v>
      </c>
      <c r="C36" s="1">
        <v>44324</v>
      </c>
      <c r="D36">
        <v>285</v>
      </c>
      <c r="E36">
        <v>9</v>
      </c>
      <c r="F36" t="s">
        <v>65</v>
      </c>
      <c r="G36">
        <v>197.72</v>
      </c>
      <c r="H36">
        <v>109.08</v>
      </c>
      <c r="I36" t="s">
        <v>20</v>
      </c>
      <c r="J36">
        <v>95</v>
      </c>
      <c r="K36">
        <v>18</v>
      </c>
      <c r="L36" s="30">
        <f t="shared" si="0"/>
        <v>3.1170794748632447</v>
      </c>
      <c r="N36" s="29">
        <f t="shared" si="15"/>
        <v>3.1170794748632447</v>
      </c>
      <c r="O36" s="29">
        <f t="shared" si="16"/>
        <v>7.2508335238339372</v>
      </c>
      <c r="R36" s="24">
        <f t="shared" si="17"/>
        <v>41.8</v>
      </c>
      <c r="S36" s="24">
        <f t="shared" si="18"/>
        <v>0.314</v>
      </c>
      <c r="T36" s="24">
        <v>0.14899999999999999</v>
      </c>
      <c r="U36" s="24">
        <v>9.81</v>
      </c>
      <c r="V36" s="24">
        <f t="shared" si="19"/>
        <v>1.6890988417599997</v>
      </c>
      <c r="W36" s="24">
        <f t="shared" si="20"/>
        <v>-1.5262338373154347</v>
      </c>
      <c r="X36" s="24">
        <f t="shared" si="21"/>
        <v>1.5262338373154347</v>
      </c>
      <c r="Y36" s="24">
        <f t="shared" si="22"/>
        <v>8.2837661626845662</v>
      </c>
      <c r="AA36" s="24">
        <f t="shared" si="23"/>
        <v>11.336233837315435</v>
      </c>
      <c r="AB36" s="24">
        <f t="shared" si="24"/>
        <v>7.5859364184140725</v>
      </c>
      <c r="AC36" s="24">
        <v>2.5</v>
      </c>
      <c r="AD36" s="24">
        <f t="shared" si="25"/>
        <v>5.6681169186577174</v>
      </c>
      <c r="AE36" s="24">
        <f t="shared" si="26"/>
        <v>-41.8</v>
      </c>
      <c r="AF36" s="24">
        <f t="shared" si="27"/>
        <v>5.0859364184140725</v>
      </c>
      <c r="AG36" s="24">
        <f t="shared" si="28"/>
        <v>201475.51821085648</v>
      </c>
    </row>
    <row r="37" spans="1:33" x14ac:dyDescent="0.25">
      <c r="A37" t="s">
        <v>86</v>
      </c>
      <c r="B37" t="s">
        <v>82</v>
      </c>
      <c r="C37" s="1">
        <v>44322</v>
      </c>
      <c r="D37">
        <v>322</v>
      </c>
      <c r="E37">
        <v>9</v>
      </c>
      <c r="F37" t="s">
        <v>13</v>
      </c>
      <c r="G37">
        <v>184.95</v>
      </c>
      <c r="H37">
        <v>83.46</v>
      </c>
      <c r="I37" t="s">
        <v>17</v>
      </c>
      <c r="J37">
        <v>91.8</v>
      </c>
      <c r="K37">
        <v>26</v>
      </c>
      <c r="L37" s="30">
        <f t="shared" si="0"/>
        <v>7.2883835441464058</v>
      </c>
      <c r="N37" s="29">
        <f t="shared" si="15"/>
        <v>3.9178977625749329</v>
      </c>
      <c r="O37" s="29">
        <f t="shared" si="16"/>
        <v>7.2883835441464058</v>
      </c>
      <c r="R37" s="24">
        <f t="shared" si="17"/>
        <v>40.391999999999996</v>
      </c>
      <c r="S37" s="24">
        <f t="shared" si="18"/>
        <v>0.45355555555555555</v>
      </c>
      <c r="T37" s="24">
        <v>0.14899999999999999</v>
      </c>
      <c r="U37" s="24">
        <v>9.81</v>
      </c>
      <c r="V37" s="24">
        <f t="shared" si="19"/>
        <v>1.5772234153167355</v>
      </c>
      <c r="W37" s="24">
        <f t="shared" si="20"/>
        <v>-0.77539204910560777</v>
      </c>
      <c r="X37" s="24">
        <f t="shared" si="21"/>
        <v>0.77539204910560777</v>
      </c>
      <c r="Y37" s="24">
        <f t="shared" si="22"/>
        <v>9.0346079508943919</v>
      </c>
      <c r="AA37" s="24">
        <f t="shared" si="23"/>
        <v>10.585392049105609</v>
      </c>
      <c r="AB37" s="24">
        <f t="shared" si="24"/>
        <v>15.741545357358481</v>
      </c>
      <c r="AC37" s="24">
        <v>2.5</v>
      </c>
      <c r="AD37" s="24">
        <f t="shared" si="25"/>
        <v>5.2926960245528045</v>
      </c>
      <c r="AE37" s="24">
        <f t="shared" si="26"/>
        <v>-40.391999999999996</v>
      </c>
      <c r="AF37" s="24">
        <f t="shared" si="27"/>
        <v>13.241545357358481</v>
      </c>
      <c r="AG37" s="24">
        <f t="shared" si="28"/>
        <v>457368.58488552278</v>
      </c>
    </row>
    <row r="38" spans="1:33" x14ac:dyDescent="0.25">
      <c r="A38" t="s">
        <v>86</v>
      </c>
      <c r="B38" t="s">
        <v>82</v>
      </c>
      <c r="C38" s="1">
        <v>44321</v>
      </c>
      <c r="D38">
        <v>270</v>
      </c>
      <c r="E38">
        <v>8</v>
      </c>
      <c r="F38" t="s">
        <v>13</v>
      </c>
      <c r="G38">
        <v>112.64</v>
      </c>
      <c r="H38">
        <v>91.87</v>
      </c>
      <c r="I38" t="s">
        <v>17</v>
      </c>
      <c r="J38">
        <v>84.6</v>
      </c>
      <c r="K38">
        <v>43</v>
      </c>
      <c r="L38" s="30">
        <f t="shared" si="0"/>
        <v>5.9900941672043855</v>
      </c>
      <c r="N38" s="29">
        <f t="shared" si="15"/>
        <v>5.6454269750800687</v>
      </c>
      <c r="O38" s="29">
        <f t="shared" si="16"/>
        <v>5.9900941672043855</v>
      </c>
      <c r="R38" s="24">
        <f t="shared" si="17"/>
        <v>37.223999999999997</v>
      </c>
      <c r="S38" s="24">
        <f t="shared" si="18"/>
        <v>0.75011111111111117</v>
      </c>
      <c r="T38" s="24">
        <v>0.14899999999999999</v>
      </c>
      <c r="U38" s="24">
        <v>9.81</v>
      </c>
      <c r="V38" s="24">
        <f t="shared" si="19"/>
        <v>1.3395180793674237</v>
      </c>
      <c r="W38" s="24">
        <f t="shared" si="20"/>
        <v>0.81994577605755847</v>
      </c>
      <c r="X38" s="24">
        <f t="shared" si="21"/>
        <v>0.81994577605755847</v>
      </c>
      <c r="Y38" s="24">
        <f t="shared" si="22"/>
        <v>8.9900542239424421</v>
      </c>
      <c r="AA38" s="24">
        <f t="shared" si="23"/>
        <v>10.629945776057559</v>
      </c>
      <c r="AB38" s="24">
        <f t="shared" si="24"/>
        <v>34.767510569388037</v>
      </c>
      <c r="AC38" s="24">
        <v>2.5</v>
      </c>
      <c r="AD38" s="24">
        <f t="shared" si="25"/>
        <v>5.3149728880287794</v>
      </c>
      <c r="AE38" s="24">
        <f t="shared" si="26"/>
        <v>-37.223999999999997</v>
      </c>
      <c r="AF38" s="24">
        <f t="shared" si="27"/>
        <v>32.267510569388037</v>
      </c>
      <c r="AG38" s="24">
        <f t="shared" si="28"/>
        <v>950544.7879762972</v>
      </c>
    </row>
    <row r="39" spans="1:33" x14ac:dyDescent="0.25">
      <c r="A39" t="s">
        <v>86</v>
      </c>
      <c r="B39" t="s">
        <v>82</v>
      </c>
      <c r="C39" s="1">
        <v>44321</v>
      </c>
      <c r="D39">
        <v>267</v>
      </c>
      <c r="E39">
        <v>9</v>
      </c>
      <c r="F39" t="s">
        <v>13</v>
      </c>
      <c r="G39">
        <v>198.3</v>
      </c>
      <c r="H39">
        <v>119.11</v>
      </c>
      <c r="I39" t="s">
        <v>17</v>
      </c>
      <c r="J39">
        <v>84.9</v>
      </c>
      <c r="K39">
        <v>50</v>
      </c>
      <c r="L39" s="30">
        <f t="shared" si="0"/>
        <v>5.6222244657971716</v>
      </c>
      <c r="N39" s="29">
        <f t="shared" si="15"/>
        <v>6.3189667730193255</v>
      </c>
      <c r="O39" s="29">
        <f t="shared" si="16"/>
        <v>5.6222244657971716</v>
      </c>
      <c r="R39" s="24">
        <f t="shared" si="17"/>
        <v>37.356000000000002</v>
      </c>
      <c r="S39" s="24">
        <f t="shared" si="18"/>
        <v>0.87222222222222223</v>
      </c>
      <c r="T39" s="24">
        <v>0.14899999999999999</v>
      </c>
      <c r="U39" s="24">
        <v>9.81</v>
      </c>
      <c r="V39" s="24">
        <f t="shared" si="19"/>
        <v>1.3490350517888641</v>
      </c>
      <c r="W39" s="24">
        <f t="shared" si="20"/>
        <v>0.75607347792708635</v>
      </c>
      <c r="X39" s="24">
        <f t="shared" si="21"/>
        <v>0.75607347792708635</v>
      </c>
      <c r="Y39" s="24">
        <f t="shared" si="22"/>
        <v>9.0539265220729135</v>
      </c>
      <c r="AA39" s="24">
        <f t="shared" si="23"/>
        <v>10.566073477927088</v>
      </c>
      <c r="AB39" s="24">
        <f t="shared" si="24"/>
        <v>45.530153680293871</v>
      </c>
      <c r="AC39" s="24">
        <v>2.5</v>
      </c>
      <c r="AD39" s="24">
        <f t="shared" si="25"/>
        <v>5.2830367389635438</v>
      </c>
      <c r="AE39" s="24">
        <f t="shared" si="26"/>
        <v>-37.356000000000002</v>
      </c>
      <c r="AF39" s="24">
        <f t="shared" si="27"/>
        <v>43.030153680293871</v>
      </c>
      <c r="AG39" s="24">
        <f t="shared" si="28"/>
        <v>1268928.7953302129</v>
      </c>
    </row>
    <row r="40" spans="1:33" x14ac:dyDescent="0.25">
      <c r="A40" t="s">
        <v>86</v>
      </c>
      <c r="B40" t="s">
        <v>82</v>
      </c>
      <c r="C40" s="1">
        <v>44320</v>
      </c>
      <c r="D40">
        <v>304</v>
      </c>
      <c r="E40">
        <v>8</v>
      </c>
      <c r="F40" t="s">
        <v>18</v>
      </c>
      <c r="G40">
        <v>169.04</v>
      </c>
      <c r="H40">
        <v>84.93</v>
      </c>
      <c r="I40" t="s">
        <v>20</v>
      </c>
      <c r="J40">
        <v>90.9</v>
      </c>
      <c r="K40">
        <v>22</v>
      </c>
      <c r="L40" s="30">
        <f t="shared" si="0"/>
        <v>3.2410578577627609</v>
      </c>
      <c r="N40" s="29">
        <f t="shared" si="15"/>
        <v>3.2410578577627609</v>
      </c>
      <c r="O40" s="29">
        <f t="shared" si="16"/>
        <v>7.4802691866240743</v>
      </c>
      <c r="R40" s="24">
        <f t="shared" si="17"/>
        <v>39.996000000000002</v>
      </c>
      <c r="S40" s="24">
        <f t="shared" si="18"/>
        <v>0.38377777777777777</v>
      </c>
      <c r="T40" s="24">
        <v>0.14899999999999999</v>
      </c>
      <c r="U40" s="24">
        <v>9.81</v>
      </c>
      <c r="V40" s="24">
        <f t="shared" si="19"/>
        <v>1.5464490637875843</v>
      </c>
      <c r="W40" s="24">
        <f t="shared" si="20"/>
        <v>-0.56885277709788162</v>
      </c>
      <c r="X40" s="24">
        <f t="shared" si="21"/>
        <v>0.56885277709788162</v>
      </c>
      <c r="Y40" s="24">
        <f t="shared" si="22"/>
        <v>9.2411472229021197</v>
      </c>
      <c r="AA40" s="24">
        <f t="shared" si="23"/>
        <v>10.378852777097881</v>
      </c>
      <c r="AB40" s="24">
        <f t="shared" si="24"/>
        <v>11.309465816725126</v>
      </c>
      <c r="AC40" s="24">
        <v>2.5</v>
      </c>
      <c r="AD40" s="24">
        <f t="shared" si="25"/>
        <v>5.1894263885489407</v>
      </c>
      <c r="AE40" s="24">
        <f t="shared" si="26"/>
        <v>-39.996000000000002</v>
      </c>
      <c r="AF40" s="24">
        <f t="shared" si="27"/>
        <v>8.8094658167251261</v>
      </c>
      <c r="AG40" s="24">
        <f t="shared" si="28"/>
        <v>292524.3623719571</v>
      </c>
    </row>
    <row r="41" spans="1:33" x14ac:dyDescent="0.25">
      <c r="A41" t="s">
        <v>86</v>
      </c>
      <c r="B41" t="s">
        <v>82</v>
      </c>
      <c r="C41" s="1">
        <v>44297</v>
      </c>
      <c r="D41">
        <v>204</v>
      </c>
      <c r="E41">
        <v>8</v>
      </c>
      <c r="F41" t="s">
        <v>18</v>
      </c>
      <c r="G41">
        <v>130.9</v>
      </c>
      <c r="H41">
        <v>73.62</v>
      </c>
      <c r="I41" t="s">
        <v>20</v>
      </c>
      <c r="J41">
        <v>106.8</v>
      </c>
      <c r="K41">
        <v>8</v>
      </c>
      <c r="L41" s="30">
        <f t="shared" si="0"/>
        <v>2.4700880992619871</v>
      </c>
      <c r="N41" s="29">
        <f t="shared" si="15"/>
        <v>2.4700880992619871</v>
      </c>
      <c r="O41" s="29">
        <f t="shared" si="16"/>
        <v>6.5809833352077902</v>
      </c>
      <c r="R41" s="24">
        <f t="shared" si="17"/>
        <v>46.991999999999997</v>
      </c>
      <c r="S41" s="24">
        <f t="shared" si="18"/>
        <v>0.13955555555555557</v>
      </c>
      <c r="T41" s="24">
        <v>0.14899999999999999</v>
      </c>
      <c r="U41" s="24">
        <v>9.81</v>
      </c>
      <c r="V41" s="24">
        <f t="shared" si="19"/>
        <v>2.1347664014223358</v>
      </c>
      <c r="W41" s="24">
        <f t="shared" si="20"/>
        <v>-4.5172912847136635</v>
      </c>
      <c r="X41" s="24">
        <f t="shared" si="21"/>
        <v>4.5172912847136635</v>
      </c>
      <c r="Y41" s="24">
        <f t="shared" si="22"/>
        <v>5.292708715286337</v>
      </c>
      <c r="AA41" s="24">
        <f t="shared" si="23"/>
        <v>14.327291284713663</v>
      </c>
      <c r="AB41" s="24">
        <f t="shared" si="24"/>
        <v>1.5007922443847332</v>
      </c>
      <c r="AC41" s="24">
        <v>2.5</v>
      </c>
      <c r="AD41" s="24">
        <f t="shared" si="25"/>
        <v>7.1636456423568315</v>
      </c>
      <c r="AE41" s="24">
        <f t="shared" si="26"/>
        <v>-46.991999999999997</v>
      </c>
      <c r="AF41" s="24">
        <f t="shared" si="27"/>
        <v>-0.99920775561526676</v>
      </c>
      <c r="AG41" s="24">
        <f t="shared" si="28"/>
        <v>-63226.296090098367</v>
      </c>
    </row>
    <row r="42" spans="1:33" x14ac:dyDescent="0.25">
      <c r="A42" t="s">
        <v>86</v>
      </c>
      <c r="B42" t="s">
        <v>82</v>
      </c>
      <c r="C42" s="1">
        <v>44297</v>
      </c>
      <c r="D42">
        <v>188</v>
      </c>
      <c r="E42">
        <v>8</v>
      </c>
      <c r="F42" t="s">
        <v>18</v>
      </c>
      <c r="G42">
        <v>135.01</v>
      </c>
      <c r="H42">
        <v>96.8</v>
      </c>
      <c r="I42" t="s">
        <v>20</v>
      </c>
      <c r="J42">
        <v>103.4</v>
      </c>
      <c r="K42">
        <v>7</v>
      </c>
      <c r="L42" s="30">
        <f t="shared" si="0"/>
        <v>1.7904365774503188</v>
      </c>
      <c r="N42" s="29">
        <f t="shared" si="15"/>
        <v>1.7904365774503188</v>
      </c>
      <c r="O42" s="29">
        <f t="shared" si="16"/>
        <v>6.8050517855858637</v>
      </c>
      <c r="R42" s="24">
        <f t="shared" si="17"/>
        <v>45.496000000000002</v>
      </c>
      <c r="S42" s="24">
        <f t="shared" si="18"/>
        <v>0.12211111111111111</v>
      </c>
      <c r="T42" s="24">
        <v>0.14899999999999999</v>
      </c>
      <c r="U42" s="24">
        <v>9.81</v>
      </c>
      <c r="V42" s="24">
        <f t="shared" si="19"/>
        <v>2.0010084889315842</v>
      </c>
      <c r="W42" s="24">
        <f t="shared" si="20"/>
        <v>-3.6195871740374788</v>
      </c>
      <c r="X42" s="24">
        <f t="shared" si="21"/>
        <v>3.6195871740374788</v>
      </c>
      <c r="Y42" s="24">
        <f t="shared" si="22"/>
        <v>6.1904128259625217</v>
      </c>
      <c r="AA42" s="24">
        <f t="shared" si="23"/>
        <v>13.429587174037479</v>
      </c>
      <c r="AB42" s="24">
        <f t="shared" si="24"/>
        <v>1.1490741227384043</v>
      </c>
      <c r="AC42" s="24">
        <v>2.5</v>
      </c>
      <c r="AD42" s="24">
        <f t="shared" si="25"/>
        <v>6.7147935870187396</v>
      </c>
      <c r="AE42" s="24">
        <f t="shared" si="26"/>
        <v>-45.496000000000002</v>
      </c>
      <c r="AF42" s="24">
        <f t="shared" si="27"/>
        <v>-1.3509258772615957</v>
      </c>
      <c r="AG42" s="24">
        <f t="shared" si="28"/>
        <v>-75105.304212837131</v>
      </c>
    </row>
    <row r="43" spans="1:33" x14ac:dyDescent="0.25">
      <c r="A43" t="s">
        <v>86</v>
      </c>
      <c r="B43" t="s">
        <v>82</v>
      </c>
      <c r="C43" s="1">
        <v>44098</v>
      </c>
      <c r="D43">
        <v>327</v>
      </c>
      <c r="E43">
        <v>9</v>
      </c>
      <c r="F43" t="s">
        <v>13</v>
      </c>
      <c r="G43">
        <v>172.1</v>
      </c>
      <c r="H43">
        <v>68.540000000000006</v>
      </c>
      <c r="I43" t="s">
        <v>17</v>
      </c>
      <c r="J43">
        <v>94.7</v>
      </c>
      <c r="K43">
        <v>43</v>
      </c>
      <c r="L43" s="30">
        <f t="shared" si="0"/>
        <v>6.3119157640426584</v>
      </c>
      <c r="N43" s="29">
        <f t="shared" si="15"/>
        <v>6.7995356069202177</v>
      </c>
      <c r="O43" s="29">
        <f t="shared" si="16"/>
        <v>6.3119157640426584</v>
      </c>
      <c r="R43" s="24">
        <f t="shared" si="17"/>
        <v>41.667999999999999</v>
      </c>
      <c r="S43" s="24">
        <f t="shared" si="18"/>
        <v>0.75011111111111117</v>
      </c>
      <c r="T43" s="24">
        <v>0.14899999999999999</v>
      </c>
      <c r="U43" s="24">
        <v>9.81</v>
      </c>
      <c r="V43" s="24">
        <f t="shared" si="19"/>
        <v>1.6784476932741759</v>
      </c>
      <c r="W43" s="24">
        <f t="shared" si="20"/>
        <v>-1.4547496192897715</v>
      </c>
      <c r="X43" s="24">
        <f t="shared" si="21"/>
        <v>1.4547496192897715</v>
      </c>
      <c r="Y43" s="24">
        <f t="shared" si="22"/>
        <v>8.3552503807102294</v>
      </c>
      <c r="AA43" s="24">
        <f t="shared" si="23"/>
        <v>11.264749619289772</v>
      </c>
      <c r="AB43" s="24">
        <f t="shared" si="24"/>
        <v>41.10951312583196</v>
      </c>
      <c r="AC43" s="24">
        <v>2.5</v>
      </c>
      <c r="AD43" s="24">
        <f t="shared" si="25"/>
        <v>5.6323748096448858</v>
      </c>
      <c r="AE43" s="24">
        <f t="shared" si="26"/>
        <v>-41.667999999999999</v>
      </c>
      <c r="AF43" s="24">
        <f t="shared" si="27"/>
        <v>38.60951312583196</v>
      </c>
      <c r="AG43" s="24">
        <f t="shared" si="28"/>
        <v>1510258.1042584511</v>
      </c>
    </row>
    <row r="44" spans="1:33" x14ac:dyDescent="0.25">
      <c r="A44" t="s">
        <v>86</v>
      </c>
      <c r="B44" t="s">
        <v>82</v>
      </c>
      <c r="C44" s="1">
        <v>44085</v>
      </c>
      <c r="D44">
        <v>362</v>
      </c>
      <c r="E44">
        <v>9</v>
      </c>
      <c r="F44" t="s">
        <v>13</v>
      </c>
      <c r="G44">
        <v>194.73</v>
      </c>
      <c r="H44">
        <v>61.44</v>
      </c>
      <c r="I44" t="s">
        <v>20</v>
      </c>
      <c r="J44">
        <v>97.8</v>
      </c>
      <c r="K44">
        <v>25</v>
      </c>
      <c r="L44" s="30">
        <f t="shared" si="0"/>
        <v>4.7799771357380418</v>
      </c>
      <c r="N44" s="29">
        <f t="shared" si="15"/>
        <v>4.7799771357380418</v>
      </c>
      <c r="O44" s="29">
        <f t="shared" si="16"/>
        <v>6.8710515788080473</v>
      </c>
      <c r="R44" s="24">
        <f t="shared" si="17"/>
        <v>43.031999999999996</v>
      </c>
      <c r="S44" s="24">
        <f t="shared" si="18"/>
        <v>0.43611111111111112</v>
      </c>
      <c r="T44" s="24">
        <v>0.14899999999999999</v>
      </c>
      <c r="U44" s="24">
        <v>9.81</v>
      </c>
      <c r="V44" s="24">
        <f t="shared" si="19"/>
        <v>1.7901340903733756</v>
      </c>
      <c r="W44" s="24">
        <f t="shared" si="20"/>
        <v>-2.2043227541837291</v>
      </c>
      <c r="X44" s="24">
        <f t="shared" si="21"/>
        <v>2.2043227541837291</v>
      </c>
      <c r="Y44" s="24">
        <f t="shared" si="22"/>
        <v>7.6056772458162714</v>
      </c>
      <c r="AA44" s="24">
        <f t="shared" si="23"/>
        <v>12.014322754183731</v>
      </c>
      <c r="AB44" s="24">
        <f t="shared" si="24"/>
        <v>14.56889446850046</v>
      </c>
      <c r="AC44" s="24">
        <v>2.5</v>
      </c>
      <c r="AD44" s="24">
        <f t="shared" si="25"/>
        <v>6.0071613770918653</v>
      </c>
      <c r="AE44" s="24">
        <f t="shared" si="26"/>
        <v>-43.031999999999996</v>
      </c>
      <c r="AF44" s="24">
        <f t="shared" si="27"/>
        <v>12.06889446850046</v>
      </c>
      <c r="AG44" s="24">
        <f t="shared" si="28"/>
        <v>537006.87122831342</v>
      </c>
    </row>
    <row r="45" spans="1:33" x14ac:dyDescent="0.25">
      <c r="A45" t="s">
        <v>86</v>
      </c>
      <c r="B45" t="s">
        <v>82</v>
      </c>
      <c r="C45" s="1">
        <v>44073</v>
      </c>
      <c r="D45">
        <v>172</v>
      </c>
      <c r="E45">
        <v>8</v>
      </c>
      <c r="F45" t="s">
        <v>18</v>
      </c>
      <c r="G45">
        <v>118.78</v>
      </c>
      <c r="H45">
        <v>83.36</v>
      </c>
      <c r="I45" t="s">
        <v>20</v>
      </c>
      <c r="J45">
        <v>82.5</v>
      </c>
      <c r="K45">
        <v>11</v>
      </c>
      <c r="L45" s="30">
        <f t="shared" si="0"/>
        <v>1.6195280331924349</v>
      </c>
      <c r="N45" s="29">
        <f t="shared" si="15"/>
        <v>1.6195280331924349</v>
      </c>
      <c r="O45" s="29">
        <f t="shared" si="16"/>
        <v>6.5663443931953038</v>
      </c>
      <c r="R45" s="24">
        <f t="shared" si="17"/>
        <v>36.299999999999997</v>
      </c>
      <c r="S45" s="24">
        <f t="shared" si="18"/>
        <v>0.19188888888888889</v>
      </c>
      <c r="T45" s="24">
        <v>0.14899999999999999</v>
      </c>
      <c r="U45" s="24">
        <v>9.81</v>
      </c>
      <c r="V45" s="24">
        <f t="shared" si="19"/>
        <v>1.2738425475599997</v>
      </c>
      <c r="W45" s="24">
        <f t="shared" si="20"/>
        <v>1.2607211573154378</v>
      </c>
      <c r="X45" s="24">
        <f t="shared" si="21"/>
        <v>1.2607211573154378</v>
      </c>
      <c r="Y45" s="24">
        <f t="shared" si="22"/>
        <v>8.5492788426845632</v>
      </c>
      <c r="AA45" s="24">
        <f t="shared" si="23"/>
        <v>11.070721157315438</v>
      </c>
      <c r="AB45" s="24">
        <f t="shared" si="24"/>
        <v>2.190830897334052</v>
      </c>
      <c r="AC45" s="24">
        <v>2.5</v>
      </c>
      <c r="AD45" s="24">
        <f t="shared" si="25"/>
        <v>5.5353605786577189</v>
      </c>
      <c r="AE45" s="24">
        <f t="shared" si="26"/>
        <v>-36.299999999999997</v>
      </c>
      <c r="AF45" s="24">
        <f t="shared" si="27"/>
        <v>-0.30916910266594799</v>
      </c>
      <c r="AG45" s="24">
        <f t="shared" si="28"/>
        <v>-9020.1808156719926</v>
      </c>
    </row>
    <row r="46" spans="1:33" x14ac:dyDescent="0.25">
      <c r="A46" t="s">
        <v>86</v>
      </c>
      <c r="B46" t="s">
        <v>82</v>
      </c>
      <c r="C46" s="1">
        <v>44061</v>
      </c>
      <c r="D46">
        <v>287</v>
      </c>
      <c r="E46">
        <v>9</v>
      </c>
      <c r="F46" t="s">
        <v>66</v>
      </c>
      <c r="G46">
        <v>221.41</v>
      </c>
      <c r="H46">
        <v>103.68</v>
      </c>
      <c r="I46" t="s">
        <v>20</v>
      </c>
      <c r="J46">
        <v>96.6</v>
      </c>
      <c r="K46">
        <v>17</v>
      </c>
      <c r="L46" s="30">
        <f t="shared" si="0"/>
        <v>3.1450378444380611</v>
      </c>
      <c r="N46" s="29">
        <f t="shared" si="15"/>
        <v>3.1450378444380611</v>
      </c>
      <c r="O46" s="29">
        <f t="shared" si="16"/>
        <v>7.1505754813687981</v>
      </c>
      <c r="R46" s="24">
        <f t="shared" si="17"/>
        <v>42.503999999999998</v>
      </c>
      <c r="S46" s="24">
        <f t="shared" si="18"/>
        <v>0.29655555555555557</v>
      </c>
      <c r="T46" s="24">
        <v>0.14899999999999999</v>
      </c>
      <c r="U46" s="24">
        <v>9.81</v>
      </c>
      <c r="V46" s="24">
        <f t="shared" si="19"/>
        <v>1.7464739266275837</v>
      </c>
      <c r="W46" s="24">
        <f t="shared" si="20"/>
        <v>-1.9113015209904953</v>
      </c>
      <c r="X46" s="24">
        <f t="shared" si="21"/>
        <v>1.9113015209904953</v>
      </c>
      <c r="Y46" s="24">
        <f t="shared" si="22"/>
        <v>7.8986984790095054</v>
      </c>
      <c r="AA46" s="24">
        <f t="shared" si="23"/>
        <v>11.721301520990496</v>
      </c>
      <c r="AB46" s="24">
        <f t="shared" si="24"/>
        <v>6.7687102726574864</v>
      </c>
      <c r="AC46" s="24">
        <v>2.5</v>
      </c>
      <c r="AD46" s="24">
        <f t="shared" si="25"/>
        <v>5.8606507604952478</v>
      </c>
      <c r="AE46" s="24">
        <f t="shared" si="26"/>
        <v>-42.503999999999998</v>
      </c>
      <c r="AF46" s="24">
        <f t="shared" si="27"/>
        <v>4.2687102726574864</v>
      </c>
      <c r="AG46" s="24">
        <f t="shared" si="28"/>
        <v>180784.88555674793</v>
      </c>
    </row>
    <row r="47" spans="1:33" x14ac:dyDescent="0.25">
      <c r="A47" t="s">
        <v>86</v>
      </c>
      <c r="B47" t="s">
        <v>82</v>
      </c>
      <c r="C47" s="1">
        <v>44050</v>
      </c>
      <c r="D47">
        <v>360</v>
      </c>
      <c r="E47">
        <v>8</v>
      </c>
      <c r="F47" t="s">
        <v>13</v>
      </c>
      <c r="G47">
        <v>135.25</v>
      </c>
      <c r="H47">
        <v>46.88</v>
      </c>
      <c r="I47" t="s">
        <v>17</v>
      </c>
      <c r="J47">
        <v>92.3</v>
      </c>
      <c r="K47">
        <v>31</v>
      </c>
      <c r="L47" s="30">
        <f t="shared" ref="L47:L83" si="29">IF(I47="line_drive",N47,O47)</f>
        <v>7.0690110806843443</v>
      </c>
      <c r="N47" s="29">
        <f t="shared" ref="N47:N83" si="30">(2*R47*SIN(S47))/Y47</f>
        <v>4.6882415304957243</v>
      </c>
      <c r="O47" s="29">
        <f t="shared" ref="O47:O83" si="31">(-AE47+SQRT((AE47^2)-(4*(AD47*AF47))))/(2*AD47)</f>
        <v>7.0690110806843443</v>
      </c>
      <c r="R47" s="24">
        <f t="shared" ref="R47:R83" si="32">0.44*J47</f>
        <v>40.612000000000002</v>
      </c>
      <c r="S47" s="24">
        <f t="shared" ref="S47:S83" si="33">K47*3.14/180</f>
        <v>0.5407777777777778</v>
      </c>
      <c r="T47" s="24">
        <v>0.14899999999999999</v>
      </c>
      <c r="U47" s="24">
        <v>9.81</v>
      </c>
      <c r="V47" s="24">
        <f t="shared" ref="V47:V83" si="34">0.5*0.346*1.27*0.0044*(R47)^2</f>
        <v>1.5944512877138559</v>
      </c>
      <c r="W47" s="24">
        <f t="shared" ref="W47:W83" si="35">((T47*U47)-V47)/T47</f>
        <v>-0.89101535378426833</v>
      </c>
      <c r="X47" s="24">
        <f t="shared" ref="X47:X83" si="36">ABS(W47)</f>
        <v>0.89101535378426833</v>
      </c>
      <c r="Y47" s="24">
        <f t="shared" ref="Y47:Y83" si="37">U47-X47</f>
        <v>8.9189846462157316</v>
      </c>
      <c r="AA47" s="24">
        <f t="shared" ref="AA47:AA83" si="38">U47+X47</f>
        <v>10.701015353784269</v>
      </c>
      <c r="AB47" s="24">
        <f t="shared" ref="AB47:AB83" si="39">(R47)^2*SIN(S47^2)/(2*AA47)</f>
        <v>22.216899453794905</v>
      </c>
      <c r="AC47" s="24">
        <v>2.5</v>
      </c>
      <c r="AD47" s="24">
        <f t="shared" ref="AD47:AD83" si="40">0.5*AA47</f>
        <v>5.3505076768921347</v>
      </c>
      <c r="AE47" s="24">
        <f t="shared" ref="AE47:AE83" si="41">-R47</f>
        <v>-40.612000000000002</v>
      </c>
      <c r="AF47" s="24">
        <f t="shared" ref="AF47:AF83" si="42">AB47-AC47</f>
        <v>19.716899453794905</v>
      </c>
      <c r="AG47" s="24">
        <f t="shared" ref="AG47:AG83" si="43">AE47^2*4*AD47*AF47</f>
        <v>695988.97424158163</v>
      </c>
    </row>
    <row r="48" spans="1:33" x14ac:dyDescent="0.25">
      <c r="A48" t="s">
        <v>86</v>
      </c>
      <c r="B48" t="s">
        <v>82</v>
      </c>
      <c r="C48" s="1">
        <v>44050</v>
      </c>
      <c r="D48">
        <v>319</v>
      </c>
      <c r="E48">
        <v>8</v>
      </c>
      <c r="F48" t="s">
        <v>13</v>
      </c>
      <c r="G48">
        <v>112.38</v>
      </c>
      <c r="H48">
        <v>65.239999999999995</v>
      </c>
      <c r="I48" t="s">
        <v>20</v>
      </c>
      <c r="J48">
        <v>86</v>
      </c>
      <c r="K48">
        <v>26</v>
      </c>
      <c r="L48" s="30">
        <f t="shared" si="29"/>
        <v>3.5694367671024678</v>
      </c>
      <c r="N48" s="29">
        <f t="shared" si="30"/>
        <v>3.5694367671024678</v>
      </c>
      <c r="O48" s="29">
        <f t="shared" si="31"/>
        <v>7.0040462792830258</v>
      </c>
      <c r="R48" s="24">
        <f t="shared" si="32"/>
        <v>37.840000000000003</v>
      </c>
      <c r="S48" s="24">
        <f t="shared" si="33"/>
        <v>0.45355555555555555</v>
      </c>
      <c r="T48" s="24">
        <v>0.14899999999999999</v>
      </c>
      <c r="U48" s="24">
        <v>9.81</v>
      </c>
      <c r="V48" s="24">
        <f t="shared" si="34"/>
        <v>1.3842188402944002</v>
      </c>
      <c r="W48" s="24">
        <f t="shared" si="35"/>
        <v>0.51994066916509873</v>
      </c>
      <c r="X48" s="24">
        <f t="shared" si="36"/>
        <v>0.51994066916509873</v>
      </c>
      <c r="Y48" s="24">
        <f t="shared" si="37"/>
        <v>9.290059330834902</v>
      </c>
      <c r="AA48" s="24">
        <f t="shared" si="38"/>
        <v>10.329940669165099</v>
      </c>
      <c r="AB48" s="24">
        <f t="shared" si="39"/>
        <v>14.156895476216574</v>
      </c>
      <c r="AC48" s="24">
        <v>2.5</v>
      </c>
      <c r="AD48" s="24">
        <f t="shared" si="40"/>
        <v>5.1649703345825495</v>
      </c>
      <c r="AE48" s="24">
        <f t="shared" si="41"/>
        <v>-37.840000000000003</v>
      </c>
      <c r="AF48" s="24">
        <f t="shared" si="42"/>
        <v>11.656895476216574</v>
      </c>
      <c r="AG48" s="24">
        <f t="shared" si="43"/>
        <v>344836.30314832536</v>
      </c>
    </row>
    <row r="49" spans="1:33" x14ac:dyDescent="0.25">
      <c r="A49" t="s">
        <v>86</v>
      </c>
      <c r="B49" t="s">
        <v>82</v>
      </c>
      <c r="C49" s="1">
        <v>43709</v>
      </c>
      <c r="D49">
        <v>395</v>
      </c>
      <c r="E49">
        <v>8</v>
      </c>
      <c r="F49" t="s">
        <v>13</v>
      </c>
      <c r="G49">
        <v>129.71</v>
      </c>
      <c r="H49">
        <v>30.99</v>
      </c>
      <c r="I49" t="s">
        <v>17</v>
      </c>
      <c r="J49">
        <v>101.5</v>
      </c>
      <c r="K49">
        <v>29</v>
      </c>
      <c r="L49" s="30">
        <f t="shared" si="29"/>
        <v>6.4977760521567163</v>
      </c>
      <c r="N49" s="29">
        <f t="shared" si="30"/>
        <v>6.4800737919012033</v>
      </c>
      <c r="O49" s="29">
        <f t="shared" si="31"/>
        <v>6.4977760521567163</v>
      </c>
      <c r="R49" s="24">
        <f t="shared" si="32"/>
        <v>44.660000000000004</v>
      </c>
      <c r="S49" s="24">
        <f t="shared" si="33"/>
        <v>0.50588888888888894</v>
      </c>
      <c r="T49" s="24">
        <v>0.14899999999999999</v>
      </c>
      <c r="U49" s="24">
        <v>9.81</v>
      </c>
      <c r="V49" s="24">
        <f t="shared" si="34"/>
        <v>1.9281460988944004</v>
      </c>
      <c r="W49" s="24">
        <f t="shared" si="35"/>
        <v>-3.1305778449288622</v>
      </c>
      <c r="X49" s="24">
        <f t="shared" si="36"/>
        <v>3.1305778449288622</v>
      </c>
      <c r="Y49" s="24">
        <f t="shared" si="37"/>
        <v>6.6794221550711388</v>
      </c>
      <c r="AA49" s="24">
        <f t="shared" si="38"/>
        <v>12.940577844928862</v>
      </c>
      <c r="AB49" s="24">
        <f t="shared" si="39"/>
        <v>19.508004119739013</v>
      </c>
      <c r="AC49" s="24">
        <v>2.5</v>
      </c>
      <c r="AD49" s="24">
        <f t="shared" si="40"/>
        <v>6.4702889224644311</v>
      </c>
      <c r="AE49" s="24">
        <f t="shared" si="41"/>
        <v>-44.660000000000004</v>
      </c>
      <c r="AF49" s="24">
        <f t="shared" si="42"/>
        <v>17.008004119739013</v>
      </c>
      <c r="AG49" s="24">
        <f t="shared" si="43"/>
        <v>877959.44469325279</v>
      </c>
    </row>
    <row r="50" spans="1:33" x14ac:dyDescent="0.25">
      <c r="A50" t="s">
        <v>86</v>
      </c>
      <c r="B50" t="s">
        <v>82</v>
      </c>
      <c r="C50" s="1">
        <v>43709</v>
      </c>
      <c r="D50">
        <v>222</v>
      </c>
      <c r="E50">
        <v>9</v>
      </c>
      <c r="F50" t="s">
        <v>13</v>
      </c>
      <c r="G50">
        <v>160.47</v>
      </c>
      <c r="H50">
        <v>113.14</v>
      </c>
      <c r="I50" t="s">
        <v>17</v>
      </c>
      <c r="J50">
        <v>73.5</v>
      </c>
      <c r="K50">
        <v>41</v>
      </c>
      <c r="L50" s="30">
        <f t="shared" si="29"/>
        <v>4.4252910056870363</v>
      </c>
      <c r="N50" s="29">
        <f t="shared" si="30"/>
        <v>6.2507964726158729</v>
      </c>
      <c r="O50" s="29">
        <f t="shared" si="31"/>
        <v>4.4252910056870363</v>
      </c>
      <c r="R50" s="24">
        <f t="shared" si="32"/>
        <v>32.340000000000003</v>
      </c>
      <c r="S50" s="24">
        <f t="shared" si="33"/>
        <v>0.71522222222222231</v>
      </c>
      <c r="T50" s="24">
        <v>0.14899999999999999</v>
      </c>
      <c r="U50" s="24">
        <v>9.81</v>
      </c>
      <c r="V50" s="24">
        <f t="shared" si="34"/>
        <v>1.0110730435344002</v>
      </c>
      <c r="W50" s="24">
        <f t="shared" si="35"/>
        <v>3.024274875608052</v>
      </c>
      <c r="X50" s="24">
        <f t="shared" si="36"/>
        <v>3.024274875608052</v>
      </c>
      <c r="Y50" s="24">
        <f t="shared" si="37"/>
        <v>6.7857251243919485</v>
      </c>
      <c r="AA50" s="24">
        <f t="shared" si="38"/>
        <v>12.834274875608052</v>
      </c>
      <c r="AB50" s="24">
        <f t="shared" si="39"/>
        <v>19.945822139509758</v>
      </c>
      <c r="AC50" s="24">
        <v>2.5</v>
      </c>
      <c r="AD50" s="24">
        <f t="shared" si="40"/>
        <v>6.4171374378040262</v>
      </c>
      <c r="AE50" s="24">
        <f t="shared" si="41"/>
        <v>-32.340000000000003</v>
      </c>
      <c r="AF50" s="24">
        <f t="shared" si="42"/>
        <v>17.445822139509758</v>
      </c>
      <c r="AG50" s="24">
        <f t="shared" si="43"/>
        <v>468352.45796784171</v>
      </c>
    </row>
    <row r="51" spans="1:33" x14ac:dyDescent="0.25">
      <c r="A51" t="s">
        <v>86</v>
      </c>
      <c r="B51" t="s">
        <v>82</v>
      </c>
      <c r="C51" s="1">
        <v>43699</v>
      </c>
      <c r="D51">
        <v>296</v>
      </c>
      <c r="E51">
        <v>7</v>
      </c>
      <c r="F51" t="s">
        <v>22</v>
      </c>
      <c r="G51">
        <v>45.48</v>
      </c>
      <c r="H51">
        <v>102.29</v>
      </c>
      <c r="I51" t="s">
        <v>20</v>
      </c>
      <c r="J51">
        <v>106.6</v>
      </c>
      <c r="K51">
        <v>16</v>
      </c>
      <c r="L51" s="30">
        <f t="shared" si="29"/>
        <v>4.8340221023335816</v>
      </c>
      <c r="N51" s="29">
        <f t="shared" si="30"/>
        <v>4.8340221023335816</v>
      </c>
      <c r="O51" s="29">
        <f t="shared" si="31"/>
        <v>6.4966632322101159</v>
      </c>
      <c r="R51" s="24">
        <f t="shared" si="32"/>
        <v>46.903999999999996</v>
      </c>
      <c r="S51" s="24">
        <f t="shared" si="33"/>
        <v>0.27911111111111114</v>
      </c>
      <c r="T51" s="24">
        <v>0.14899999999999999</v>
      </c>
      <c r="U51" s="24">
        <v>9.81</v>
      </c>
      <c r="V51" s="24">
        <f t="shared" si="34"/>
        <v>2.1267785079523835</v>
      </c>
      <c r="W51" s="24">
        <f t="shared" si="35"/>
        <v>-4.4636812614253936</v>
      </c>
      <c r="X51" s="24">
        <f t="shared" si="36"/>
        <v>4.4636812614253936</v>
      </c>
      <c r="Y51" s="24">
        <f t="shared" si="37"/>
        <v>5.3463187385746069</v>
      </c>
      <c r="AA51" s="24">
        <f t="shared" si="38"/>
        <v>14.273681261425395</v>
      </c>
      <c r="AB51" s="24">
        <f t="shared" si="39"/>
        <v>5.9974778734458392</v>
      </c>
      <c r="AC51" s="24">
        <v>2.5</v>
      </c>
      <c r="AD51" s="24">
        <f t="shared" si="40"/>
        <v>7.1368406307126975</v>
      </c>
      <c r="AE51" s="24">
        <f t="shared" si="41"/>
        <v>-46.903999999999996</v>
      </c>
      <c r="AF51" s="24">
        <f t="shared" si="42"/>
        <v>3.4974778734458392</v>
      </c>
      <c r="AG51" s="24">
        <f t="shared" si="43"/>
        <v>219654.81520131926</v>
      </c>
    </row>
    <row r="52" spans="1:33" x14ac:dyDescent="0.25">
      <c r="A52" t="s">
        <v>86</v>
      </c>
      <c r="B52" t="s">
        <v>82</v>
      </c>
      <c r="C52" s="1">
        <v>43672</v>
      </c>
      <c r="D52">
        <v>254</v>
      </c>
      <c r="E52">
        <v>9</v>
      </c>
      <c r="F52" t="s">
        <v>13</v>
      </c>
      <c r="G52">
        <v>190.44</v>
      </c>
      <c r="H52">
        <v>113.64</v>
      </c>
      <c r="I52" t="s">
        <v>17</v>
      </c>
      <c r="J52">
        <v>82.8</v>
      </c>
      <c r="K52">
        <v>45</v>
      </c>
      <c r="L52" s="30">
        <f t="shared" si="29"/>
        <v>5.5626000503516408</v>
      </c>
      <c r="N52" s="29">
        <f t="shared" si="30"/>
        <v>5.9805725529516138</v>
      </c>
      <c r="O52" s="29">
        <f t="shared" si="31"/>
        <v>5.5626000503516408</v>
      </c>
      <c r="R52" s="24">
        <f t="shared" si="32"/>
        <v>36.432000000000002</v>
      </c>
      <c r="S52" s="24">
        <f t="shared" si="33"/>
        <v>0.78500000000000003</v>
      </c>
      <c r="T52" s="24">
        <v>0.14899999999999999</v>
      </c>
      <c r="U52" s="24">
        <v>9.81</v>
      </c>
      <c r="V52" s="24">
        <f t="shared" si="34"/>
        <v>1.2831237011957761</v>
      </c>
      <c r="W52" s="24">
        <f t="shared" si="35"/>
        <v>1.1984315355988175</v>
      </c>
      <c r="X52" s="24">
        <f t="shared" si="36"/>
        <v>1.1984315355988175</v>
      </c>
      <c r="Y52" s="24">
        <f t="shared" si="37"/>
        <v>8.6115684644011825</v>
      </c>
      <c r="AA52" s="24">
        <f t="shared" si="38"/>
        <v>11.008431535598818</v>
      </c>
      <c r="AB52" s="24">
        <f t="shared" si="39"/>
        <v>34.842342296881981</v>
      </c>
      <c r="AC52" s="24">
        <v>2.5</v>
      </c>
      <c r="AD52" s="24">
        <f t="shared" si="40"/>
        <v>5.5042157677994092</v>
      </c>
      <c r="AE52" s="24">
        <f t="shared" si="41"/>
        <v>-36.432000000000002</v>
      </c>
      <c r="AF52" s="24">
        <f t="shared" si="42"/>
        <v>32.342342296881981</v>
      </c>
      <c r="AG52" s="24">
        <f t="shared" si="43"/>
        <v>945133.02180854883</v>
      </c>
    </row>
    <row r="53" spans="1:33" x14ac:dyDescent="0.25">
      <c r="A53" t="s">
        <v>86</v>
      </c>
      <c r="B53" t="s">
        <v>82</v>
      </c>
      <c r="C53" s="1">
        <v>43658</v>
      </c>
      <c r="D53">
        <v>137</v>
      </c>
      <c r="E53">
        <v>7</v>
      </c>
      <c r="F53" t="s">
        <v>18</v>
      </c>
      <c r="G53">
        <v>86.66</v>
      </c>
      <c r="H53">
        <v>138.94</v>
      </c>
      <c r="I53" t="s">
        <v>20</v>
      </c>
      <c r="J53">
        <v>64.3</v>
      </c>
      <c r="K53">
        <v>14</v>
      </c>
      <c r="L53" s="30">
        <f t="shared" si="29"/>
        <v>2.6345683149183614</v>
      </c>
      <c r="N53" s="29">
        <f t="shared" si="30"/>
        <v>2.6345683149183614</v>
      </c>
      <c r="O53" s="29">
        <f t="shared" si="31"/>
        <v>3.9518625982224971</v>
      </c>
      <c r="R53" s="24">
        <f t="shared" si="32"/>
        <v>28.291999999999998</v>
      </c>
      <c r="S53" s="24">
        <f t="shared" si="33"/>
        <v>0.24422222222222223</v>
      </c>
      <c r="T53" s="24">
        <v>0.14899999999999999</v>
      </c>
      <c r="U53" s="24">
        <v>9.81</v>
      </c>
      <c r="V53" s="24">
        <f t="shared" si="34"/>
        <v>0.77380191360313588</v>
      </c>
      <c r="W53" s="24">
        <f t="shared" si="35"/>
        <v>4.6166985664219062</v>
      </c>
      <c r="X53" s="24">
        <f t="shared" si="36"/>
        <v>4.6166985664219062</v>
      </c>
      <c r="Y53" s="24">
        <f t="shared" si="37"/>
        <v>5.1933014335780943</v>
      </c>
      <c r="AA53" s="24">
        <f t="shared" si="38"/>
        <v>14.426698566421907</v>
      </c>
      <c r="AB53" s="24">
        <f t="shared" si="39"/>
        <v>1.6536483972703324</v>
      </c>
      <c r="AC53" s="24">
        <v>2.5</v>
      </c>
      <c r="AD53" s="24">
        <f t="shared" si="40"/>
        <v>7.2133492832109534</v>
      </c>
      <c r="AE53" s="24">
        <f t="shared" si="41"/>
        <v>-28.291999999999998</v>
      </c>
      <c r="AF53" s="24">
        <f t="shared" si="42"/>
        <v>-0.84635160272966758</v>
      </c>
      <c r="AG53" s="24">
        <f t="shared" si="43"/>
        <v>-19546.773164936367</v>
      </c>
    </row>
    <row r="54" spans="1:33" x14ac:dyDescent="0.25">
      <c r="A54" t="s">
        <v>86</v>
      </c>
      <c r="B54" t="s">
        <v>82</v>
      </c>
      <c r="C54" s="1">
        <v>43648</v>
      </c>
      <c r="D54">
        <v>226</v>
      </c>
      <c r="E54">
        <v>9</v>
      </c>
      <c r="F54" t="s">
        <v>22</v>
      </c>
      <c r="G54">
        <v>155.03</v>
      </c>
      <c r="H54">
        <v>52.15</v>
      </c>
      <c r="I54" t="s">
        <v>20</v>
      </c>
      <c r="J54">
        <v>105.4</v>
      </c>
      <c r="K54">
        <v>8</v>
      </c>
      <c r="L54" s="30">
        <f t="shared" si="29"/>
        <v>2.2771586708462959</v>
      </c>
      <c r="N54" s="29">
        <f t="shared" si="30"/>
        <v>2.2771586708462959</v>
      </c>
      <c r="O54" s="29">
        <f t="shared" si="31"/>
        <v>6.6683967760929015</v>
      </c>
      <c r="R54" s="24">
        <f t="shared" si="32"/>
        <v>46.376000000000005</v>
      </c>
      <c r="S54" s="24">
        <f t="shared" si="33"/>
        <v>0.13955555555555557</v>
      </c>
      <c r="T54" s="24">
        <v>0.14899999999999999</v>
      </c>
      <c r="U54" s="24">
        <v>9.81</v>
      </c>
      <c r="V54" s="24">
        <f t="shared" si="34"/>
        <v>2.0791655721802247</v>
      </c>
      <c r="W54" s="24">
        <f t="shared" si="35"/>
        <v>-4.1441313569142606</v>
      </c>
      <c r="X54" s="24">
        <f t="shared" si="36"/>
        <v>4.1441313569142606</v>
      </c>
      <c r="Y54" s="24">
        <f t="shared" si="37"/>
        <v>5.6658686430857399</v>
      </c>
      <c r="AA54" s="24">
        <f t="shared" si="38"/>
        <v>13.95413135691426</v>
      </c>
      <c r="AB54" s="24">
        <f t="shared" si="39"/>
        <v>1.5007922443847332</v>
      </c>
      <c r="AC54" s="24">
        <v>2.5</v>
      </c>
      <c r="AD54" s="24">
        <f t="shared" si="40"/>
        <v>6.9770656784571301</v>
      </c>
      <c r="AE54" s="24">
        <f t="shared" si="41"/>
        <v>-46.376000000000005</v>
      </c>
      <c r="AF54" s="24">
        <f t="shared" si="42"/>
        <v>-0.99920775561526676</v>
      </c>
      <c r="AG54" s="24">
        <f t="shared" si="43"/>
        <v>-59975.679016234622</v>
      </c>
    </row>
    <row r="55" spans="1:33" x14ac:dyDescent="0.25">
      <c r="A55" t="s">
        <v>86</v>
      </c>
      <c r="B55" t="s">
        <v>82</v>
      </c>
      <c r="C55" s="1">
        <v>43624</v>
      </c>
      <c r="D55">
        <v>245</v>
      </c>
      <c r="E55">
        <v>9</v>
      </c>
      <c r="F55" t="s">
        <v>22</v>
      </c>
      <c r="G55">
        <v>207.43</v>
      </c>
      <c r="H55">
        <v>103.5</v>
      </c>
      <c r="I55" t="s">
        <v>20</v>
      </c>
      <c r="J55">
        <v>102.6</v>
      </c>
      <c r="K55">
        <v>12</v>
      </c>
      <c r="L55" s="30">
        <f t="shared" si="29"/>
        <v>2.9328327442014239</v>
      </c>
      <c r="N55" s="29">
        <f t="shared" si="30"/>
        <v>2.9328327442014239</v>
      </c>
      <c r="O55" s="29">
        <f t="shared" si="31"/>
        <v>6.8088596641040695</v>
      </c>
      <c r="R55" s="24">
        <f t="shared" si="32"/>
        <v>45.143999999999998</v>
      </c>
      <c r="S55" s="24">
        <f t="shared" si="33"/>
        <v>0.20933333333333334</v>
      </c>
      <c r="T55" s="24">
        <v>0.14899999999999999</v>
      </c>
      <c r="U55" s="24">
        <v>9.81</v>
      </c>
      <c r="V55" s="24">
        <f t="shared" si="34"/>
        <v>1.9701648890288637</v>
      </c>
      <c r="W55" s="24">
        <f t="shared" si="35"/>
        <v>-3.4125831478447233</v>
      </c>
      <c r="X55" s="24">
        <f t="shared" si="36"/>
        <v>3.4125831478447233</v>
      </c>
      <c r="Y55" s="24">
        <f t="shared" si="37"/>
        <v>6.3974168521552777</v>
      </c>
      <c r="AA55" s="24">
        <f t="shared" si="38"/>
        <v>13.222583147844723</v>
      </c>
      <c r="AB55" s="24">
        <f t="shared" si="39"/>
        <v>3.3759153658595666</v>
      </c>
      <c r="AC55" s="24">
        <v>2.5</v>
      </c>
      <c r="AD55" s="24">
        <f t="shared" si="40"/>
        <v>6.6112915739223617</v>
      </c>
      <c r="AE55" s="24">
        <f t="shared" si="41"/>
        <v>-45.143999999999998</v>
      </c>
      <c r="AF55" s="24">
        <f t="shared" si="42"/>
        <v>0.87591536585956664</v>
      </c>
      <c r="AG55" s="24">
        <f t="shared" si="43"/>
        <v>47207.230441587046</v>
      </c>
    </row>
    <row r="56" spans="1:33" x14ac:dyDescent="0.25">
      <c r="A56" t="s">
        <v>86</v>
      </c>
      <c r="B56" t="s">
        <v>82</v>
      </c>
      <c r="C56" s="1">
        <v>43614</v>
      </c>
      <c r="D56">
        <v>227</v>
      </c>
      <c r="E56">
        <v>8</v>
      </c>
      <c r="F56" t="s">
        <v>18</v>
      </c>
      <c r="G56">
        <v>118.2</v>
      </c>
      <c r="H56">
        <v>105.12</v>
      </c>
      <c r="I56" t="s">
        <v>20</v>
      </c>
      <c r="J56">
        <v>70.5</v>
      </c>
      <c r="K56">
        <v>22</v>
      </c>
      <c r="L56" s="30">
        <f t="shared" si="29"/>
        <v>3.7208150891363703</v>
      </c>
      <c r="N56" s="29">
        <f t="shared" si="30"/>
        <v>3.7208150891363703</v>
      </c>
      <c r="O56" s="29">
        <f t="shared" si="31"/>
        <v>4.5464820267784631</v>
      </c>
      <c r="R56" s="24">
        <f t="shared" si="32"/>
        <v>31.02</v>
      </c>
      <c r="S56" s="24">
        <f t="shared" si="33"/>
        <v>0.38377777777777777</v>
      </c>
      <c r="T56" s="24">
        <v>0.14899999999999999</v>
      </c>
      <c r="U56" s="24">
        <v>9.81</v>
      </c>
      <c r="V56" s="24">
        <f t="shared" si="34"/>
        <v>0.93022088844959994</v>
      </c>
      <c r="W56" s="24">
        <f t="shared" si="35"/>
        <v>3.566906788928859</v>
      </c>
      <c r="X56" s="24">
        <f t="shared" si="36"/>
        <v>3.566906788928859</v>
      </c>
      <c r="Y56" s="24">
        <f t="shared" si="37"/>
        <v>6.243093211071141</v>
      </c>
      <c r="AA56" s="24">
        <f t="shared" si="38"/>
        <v>13.37690678892886</v>
      </c>
      <c r="AB56" s="24">
        <f t="shared" si="39"/>
        <v>5.2782044739725276</v>
      </c>
      <c r="AC56" s="24">
        <v>2.5</v>
      </c>
      <c r="AD56" s="24">
        <f t="shared" si="40"/>
        <v>6.68845339446443</v>
      </c>
      <c r="AE56" s="24">
        <f t="shared" si="41"/>
        <v>-31.02</v>
      </c>
      <c r="AF56" s="24">
        <f t="shared" si="42"/>
        <v>2.7782044739725276</v>
      </c>
      <c r="AG56" s="24">
        <f t="shared" si="43"/>
        <v>71520.985470398198</v>
      </c>
    </row>
    <row r="57" spans="1:33" x14ac:dyDescent="0.25">
      <c r="A57" t="s">
        <v>86</v>
      </c>
      <c r="B57" t="s">
        <v>82</v>
      </c>
      <c r="C57" s="1">
        <v>43613</v>
      </c>
      <c r="D57">
        <v>278</v>
      </c>
      <c r="E57">
        <v>8</v>
      </c>
      <c r="F57" t="s">
        <v>18</v>
      </c>
      <c r="G57">
        <v>100.41</v>
      </c>
      <c r="H57">
        <v>84.95</v>
      </c>
      <c r="I57" t="s">
        <v>20</v>
      </c>
      <c r="J57">
        <v>88.1</v>
      </c>
      <c r="K57">
        <v>17</v>
      </c>
      <c r="L57" s="30">
        <f t="shared" si="29"/>
        <v>2.3238430416897673</v>
      </c>
      <c r="N57" s="29">
        <f t="shared" si="30"/>
        <v>2.3238430416897673</v>
      </c>
      <c r="O57" s="29">
        <f t="shared" si="31"/>
        <v>7.7448568153389266</v>
      </c>
      <c r="R57" s="24">
        <f t="shared" si="32"/>
        <v>38.763999999999996</v>
      </c>
      <c r="S57" s="24">
        <f t="shared" si="33"/>
        <v>0.29655555555555557</v>
      </c>
      <c r="T57" s="24">
        <v>0.14899999999999999</v>
      </c>
      <c r="U57" s="24">
        <v>9.81</v>
      </c>
      <c r="V57" s="24">
        <f t="shared" si="34"/>
        <v>1.4526455912679037</v>
      </c>
      <c r="W57" s="24">
        <f t="shared" si="35"/>
        <v>6.070072974561222E-2</v>
      </c>
      <c r="X57" s="24">
        <f t="shared" si="36"/>
        <v>6.070072974561222E-2</v>
      </c>
      <c r="Y57" s="24">
        <f t="shared" si="37"/>
        <v>9.7492992702543884</v>
      </c>
      <c r="AA57" s="24">
        <f t="shared" si="38"/>
        <v>9.8707007297456126</v>
      </c>
      <c r="AB57" s="24">
        <f t="shared" si="39"/>
        <v>6.6854607315689236</v>
      </c>
      <c r="AC57" s="24">
        <v>2.5</v>
      </c>
      <c r="AD57" s="24">
        <f t="shared" si="40"/>
        <v>4.9353503648728063</v>
      </c>
      <c r="AE57" s="24">
        <f t="shared" si="41"/>
        <v>-38.763999999999996</v>
      </c>
      <c r="AF57" s="24">
        <f t="shared" si="42"/>
        <v>4.1854607315689236</v>
      </c>
      <c r="AG57" s="24">
        <f t="shared" si="43"/>
        <v>124159.06170054643</v>
      </c>
    </row>
    <row r="58" spans="1:33" x14ac:dyDescent="0.25">
      <c r="A58" t="s">
        <v>86</v>
      </c>
      <c r="B58" t="s">
        <v>82</v>
      </c>
      <c r="C58" s="1">
        <v>43611</v>
      </c>
      <c r="D58">
        <v>396</v>
      </c>
      <c r="E58">
        <v>8</v>
      </c>
      <c r="F58" t="s">
        <v>13</v>
      </c>
      <c r="G58">
        <v>108.99</v>
      </c>
      <c r="H58">
        <v>31.44</v>
      </c>
      <c r="I58" t="s">
        <v>17</v>
      </c>
      <c r="J58">
        <v>99.1</v>
      </c>
      <c r="K58">
        <v>27</v>
      </c>
      <c r="L58" s="30">
        <f t="shared" si="29"/>
        <v>6.7207433959285936</v>
      </c>
      <c r="N58" s="29">
        <f t="shared" si="30"/>
        <v>5.4327561400336064</v>
      </c>
      <c r="O58" s="29">
        <f t="shared" si="31"/>
        <v>6.7207433959285936</v>
      </c>
      <c r="R58" s="24">
        <f t="shared" si="32"/>
        <v>43.603999999999999</v>
      </c>
      <c r="S58" s="24">
        <f t="shared" si="33"/>
        <v>0.47100000000000003</v>
      </c>
      <c r="T58" s="24">
        <v>0.14899999999999999</v>
      </c>
      <c r="U58" s="24">
        <v>9.81</v>
      </c>
      <c r="V58" s="24">
        <f t="shared" si="34"/>
        <v>1.838040863838784</v>
      </c>
      <c r="W58" s="24">
        <f t="shared" si="35"/>
        <v>-2.5258447237502284</v>
      </c>
      <c r="X58" s="24">
        <f t="shared" si="36"/>
        <v>2.5258447237502284</v>
      </c>
      <c r="Y58" s="24">
        <f t="shared" si="37"/>
        <v>7.2841552762497717</v>
      </c>
      <c r="AA58" s="24">
        <f t="shared" si="38"/>
        <v>12.335844723750229</v>
      </c>
      <c r="AB58" s="24">
        <f t="shared" si="39"/>
        <v>16.956161240428337</v>
      </c>
      <c r="AC58" s="24">
        <v>2.5</v>
      </c>
      <c r="AD58" s="24">
        <f t="shared" si="40"/>
        <v>6.1679223618751147</v>
      </c>
      <c r="AE58" s="24">
        <f t="shared" si="41"/>
        <v>-43.603999999999999</v>
      </c>
      <c r="AF58" s="24">
        <f t="shared" si="42"/>
        <v>14.456161240428337</v>
      </c>
      <c r="AG58" s="24">
        <f t="shared" si="43"/>
        <v>678116.84897417179</v>
      </c>
    </row>
    <row r="59" spans="1:33" x14ac:dyDescent="0.25">
      <c r="A59" t="s">
        <v>86</v>
      </c>
      <c r="B59" t="s">
        <v>82</v>
      </c>
      <c r="C59" s="1">
        <v>43602</v>
      </c>
      <c r="D59">
        <v>323</v>
      </c>
      <c r="E59">
        <v>8</v>
      </c>
      <c r="F59" t="s">
        <v>13</v>
      </c>
      <c r="G59">
        <v>130.63999999999999</v>
      </c>
      <c r="H59">
        <v>78.569999999999993</v>
      </c>
      <c r="I59" t="s">
        <v>17</v>
      </c>
      <c r="J59">
        <v>92.7</v>
      </c>
      <c r="K59">
        <v>41</v>
      </c>
      <c r="L59" s="30">
        <f t="shared" si="29"/>
        <v>6.5630915849024465</v>
      </c>
      <c r="N59" s="29">
        <f t="shared" si="30"/>
        <v>6.0611974246299436</v>
      </c>
      <c r="O59" s="29">
        <f t="shared" si="31"/>
        <v>6.5630915849024465</v>
      </c>
      <c r="R59" s="24">
        <f t="shared" si="32"/>
        <v>40.788000000000004</v>
      </c>
      <c r="S59" s="24">
        <f t="shared" si="33"/>
        <v>0.71522222222222231</v>
      </c>
      <c r="T59" s="24">
        <v>0.14899999999999999</v>
      </c>
      <c r="U59" s="24">
        <v>9.81</v>
      </c>
      <c r="V59" s="24">
        <f t="shared" si="34"/>
        <v>1.6083009624274562</v>
      </c>
      <c r="W59" s="24">
        <f t="shared" si="35"/>
        <v>-0.98396619078829739</v>
      </c>
      <c r="X59" s="24">
        <f t="shared" si="36"/>
        <v>0.98396619078829739</v>
      </c>
      <c r="Y59" s="24">
        <f t="shared" si="37"/>
        <v>8.8260338092117028</v>
      </c>
      <c r="AA59" s="24">
        <f t="shared" si="38"/>
        <v>10.793966190788298</v>
      </c>
      <c r="AB59" s="24">
        <f t="shared" si="39"/>
        <v>37.724806010528688</v>
      </c>
      <c r="AC59" s="24">
        <v>2.5</v>
      </c>
      <c r="AD59" s="24">
        <f t="shared" si="40"/>
        <v>5.3969830953941491</v>
      </c>
      <c r="AE59" s="24">
        <f t="shared" si="41"/>
        <v>-40.788000000000004</v>
      </c>
      <c r="AF59" s="24">
        <f t="shared" si="42"/>
        <v>35.224806010528688</v>
      </c>
      <c r="AG59" s="24">
        <f t="shared" si="43"/>
        <v>1265098.9066332227</v>
      </c>
    </row>
    <row r="60" spans="1:33" x14ac:dyDescent="0.25">
      <c r="A60" t="s">
        <v>86</v>
      </c>
      <c r="B60" t="s">
        <v>82</v>
      </c>
      <c r="C60" s="1">
        <v>43734</v>
      </c>
      <c r="D60">
        <v>287</v>
      </c>
      <c r="E60">
        <v>7</v>
      </c>
      <c r="F60" t="s">
        <v>13</v>
      </c>
      <c r="G60">
        <v>91.41</v>
      </c>
      <c r="H60">
        <v>83.04</v>
      </c>
      <c r="I60" t="s">
        <v>17</v>
      </c>
      <c r="J60">
        <v>82.6</v>
      </c>
      <c r="K60">
        <v>34</v>
      </c>
      <c r="L60" s="30">
        <f t="shared" si="29"/>
        <v>6.0354802226170436</v>
      </c>
      <c r="N60" s="29">
        <f t="shared" si="30"/>
        <v>4.7407704853575661</v>
      </c>
      <c r="O60" s="29">
        <f t="shared" si="31"/>
        <v>6.0354802226170436</v>
      </c>
      <c r="R60" s="24">
        <f t="shared" si="32"/>
        <v>36.344000000000001</v>
      </c>
      <c r="S60" s="24">
        <f t="shared" si="33"/>
        <v>0.59311111111111114</v>
      </c>
      <c r="T60" s="24">
        <v>0.14899999999999999</v>
      </c>
      <c r="U60" s="24">
        <v>9.81</v>
      </c>
      <c r="V60" s="24">
        <f t="shared" si="34"/>
        <v>1.2769325222832639</v>
      </c>
      <c r="W60" s="24">
        <f t="shared" si="35"/>
        <v>1.2399830719244027</v>
      </c>
      <c r="X60" s="24">
        <f t="shared" si="36"/>
        <v>1.2399830719244027</v>
      </c>
      <c r="Y60" s="24">
        <f t="shared" si="37"/>
        <v>8.5700169280755976</v>
      </c>
      <c r="AA60" s="24">
        <f t="shared" si="38"/>
        <v>11.049983071924403</v>
      </c>
      <c r="AB60" s="24">
        <f t="shared" si="39"/>
        <v>20.594507645732691</v>
      </c>
      <c r="AC60" s="24">
        <v>2.5</v>
      </c>
      <c r="AD60" s="24">
        <f t="shared" si="40"/>
        <v>5.5249915359622017</v>
      </c>
      <c r="AE60" s="24">
        <f t="shared" si="41"/>
        <v>-36.344000000000001</v>
      </c>
      <c r="AF60" s="24">
        <f t="shared" si="42"/>
        <v>18.094507645732691</v>
      </c>
      <c r="AG60" s="24">
        <f t="shared" si="43"/>
        <v>528206.60353160906</v>
      </c>
    </row>
    <row r="61" spans="1:33" x14ac:dyDescent="0.25">
      <c r="A61" t="s">
        <v>86</v>
      </c>
      <c r="B61" t="s">
        <v>82</v>
      </c>
      <c r="C61" s="1">
        <v>43714</v>
      </c>
      <c r="D61">
        <v>234</v>
      </c>
      <c r="E61">
        <v>9</v>
      </c>
      <c r="F61" t="s">
        <v>13</v>
      </c>
      <c r="G61">
        <v>166.27</v>
      </c>
      <c r="H61">
        <v>109.69</v>
      </c>
      <c r="I61" t="s">
        <v>17</v>
      </c>
      <c r="J61">
        <v>92.9</v>
      </c>
      <c r="K61">
        <v>58</v>
      </c>
      <c r="L61" s="30">
        <f t="shared" si="29"/>
        <v>5.3632861764610444</v>
      </c>
      <c r="N61" s="29">
        <f t="shared" si="30"/>
        <v>7.8943123715551664</v>
      </c>
      <c r="O61" s="29">
        <f t="shared" si="31"/>
        <v>5.3632861764610444</v>
      </c>
      <c r="R61" s="24">
        <f t="shared" si="32"/>
        <v>40.876000000000005</v>
      </c>
      <c r="S61" s="24">
        <f t="shared" si="33"/>
        <v>1.0117777777777779</v>
      </c>
      <c r="T61" s="24">
        <v>0.14899999999999999</v>
      </c>
      <c r="U61" s="24">
        <v>9.81</v>
      </c>
      <c r="V61" s="24">
        <f t="shared" si="34"/>
        <v>1.6152482587162242</v>
      </c>
      <c r="W61" s="24">
        <f t="shared" si="35"/>
        <v>-1.0305923403773445</v>
      </c>
      <c r="X61" s="24">
        <f t="shared" si="36"/>
        <v>1.0305923403773445</v>
      </c>
      <c r="Y61" s="24">
        <f t="shared" si="37"/>
        <v>8.779407659622656</v>
      </c>
      <c r="AA61" s="24">
        <f t="shared" si="38"/>
        <v>10.840592340377345</v>
      </c>
      <c r="AB61" s="24">
        <f t="shared" si="39"/>
        <v>65.815741191792981</v>
      </c>
      <c r="AC61" s="24">
        <v>2.5</v>
      </c>
      <c r="AD61" s="24">
        <f t="shared" si="40"/>
        <v>5.4202961701886725</v>
      </c>
      <c r="AE61" s="24">
        <f t="shared" si="41"/>
        <v>-40.876000000000005</v>
      </c>
      <c r="AF61" s="24">
        <f t="shared" si="42"/>
        <v>63.315741191792981</v>
      </c>
      <c r="AG61" s="24">
        <f t="shared" si="43"/>
        <v>2293672.9083367907</v>
      </c>
    </row>
    <row r="62" spans="1:33" x14ac:dyDescent="0.25">
      <c r="A62" t="s">
        <v>86</v>
      </c>
      <c r="B62" t="s">
        <v>82</v>
      </c>
      <c r="C62" s="1">
        <v>43714</v>
      </c>
      <c r="D62">
        <v>253</v>
      </c>
      <c r="E62">
        <v>9</v>
      </c>
      <c r="F62" t="s">
        <v>18</v>
      </c>
      <c r="G62">
        <v>184.77</v>
      </c>
      <c r="H62">
        <v>88.29</v>
      </c>
      <c r="I62" t="s">
        <v>20</v>
      </c>
      <c r="J62">
        <v>105.4</v>
      </c>
      <c r="K62">
        <v>10</v>
      </c>
      <c r="L62" s="30">
        <f t="shared" si="29"/>
        <v>2.8412472364350712</v>
      </c>
      <c r="N62" s="29">
        <f t="shared" si="30"/>
        <v>2.8412472364350712</v>
      </c>
      <c r="O62" s="29">
        <f t="shared" si="31"/>
        <v>6.6502658037965636</v>
      </c>
      <c r="R62" s="24">
        <f t="shared" si="32"/>
        <v>46.376000000000005</v>
      </c>
      <c r="S62" s="24">
        <f t="shared" si="33"/>
        <v>0.17444444444444446</v>
      </c>
      <c r="T62" s="24">
        <v>0.14899999999999999</v>
      </c>
      <c r="U62" s="24">
        <v>9.81</v>
      </c>
      <c r="V62" s="24">
        <f t="shared" si="34"/>
        <v>2.0791655721802247</v>
      </c>
      <c r="W62" s="24">
        <f t="shared" si="35"/>
        <v>-4.1441313569142606</v>
      </c>
      <c r="X62" s="24">
        <f t="shared" si="36"/>
        <v>4.1441313569142606</v>
      </c>
      <c r="Y62" s="24">
        <f t="shared" si="37"/>
        <v>5.6658686430857399</v>
      </c>
      <c r="AA62" s="24">
        <f t="shared" si="38"/>
        <v>13.95413135691426</v>
      </c>
      <c r="AB62" s="24">
        <f t="shared" si="39"/>
        <v>2.3447742020931988</v>
      </c>
      <c r="AC62" s="24">
        <v>2.5</v>
      </c>
      <c r="AD62" s="24">
        <f t="shared" si="40"/>
        <v>6.9770656784571301</v>
      </c>
      <c r="AE62" s="24">
        <f t="shared" si="41"/>
        <v>-46.376000000000005</v>
      </c>
      <c r="AF62" s="24">
        <f t="shared" si="42"/>
        <v>-0.15522579790680124</v>
      </c>
      <c r="AG62" s="24">
        <f t="shared" si="43"/>
        <v>-9317.1540933093347</v>
      </c>
    </row>
    <row r="63" spans="1:33" x14ac:dyDescent="0.25">
      <c r="A63" t="s">
        <v>86</v>
      </c>
      <c r="B63" t="s">
        <v>82</v>
      </c>
      <c r="C63" s="1">
        <v>43658</v>
      </c>
      <c r="D63">
        <v>269</v>
      </c>
      <c r="E63">
        <v>9</v>
      </c>
      <c r="F63" t="s">
        <v>13</v>
      </c>
      <c r="G63">
        <v>183.96</v>
      </c>
      <c r="H63">
        <v>101.56</v>
      </c>
      <c r="I63" t="s">
        <v>20</v>
      </c>
      <c r="J63">
        <v>103.6</v>
      </c>
      <c r="K63">
        <v>13</v>
      </c>
      <c r="L63" s="30">
        <f t="shared" si="29"/>
        <v>3.339320402736027</v>
      </c>
      <c r="N63" s="29">
        <f t="shared" si="30"/>
        <v>3.339320402736027</v>
      </c>
      <c r="O63" s="29">
        <f t="shared" si="31"/>
        <v>6.7301915131289656</v>
      </c>
      <c r="R63" s="24">
        <f t="shared" si="32"/>
        <v>45.583999999999996</v>
      </c>
      <c r="S63" s="24">
        <f t="shared" si="33"/>
        <v>0.22677777777777777</v>
      </c>
      <c r="T63" s="24">
        <v>0.14899999999999999</v>
      </c>
      <c r="U63" s="24">
        <v>9.81</v>
      </c>
      <c r="V63" s="24">
        <f t="shared" si="34"/>
        <v>2.0087568204605435</v>
      </c>
      <c r="W63" s="24">
        <f t="shared" si="35"/>
        <v>-3.6715893990640507</v>
      </c>
      <c r="X63" s="24">
        <f t="shared" si="36"/>
        <v>3.6715893990640507</v>
      </c>
      <c r="Y63" s="24">
        <f t="shared" si="37"/>
        <v>6.1384106009359503</v>
      </c>
      <c r="AA63" s="24">
        <f t="shared" si="38"/>
        <v>13.481589399064051</v>
      </c>
      <c r="AB63" s="24">
        <f t="shared" si="39"/>
        <v>3.9615332445876361</v>
      </c>
      <c r="AC63" s="24">
        <v>2.5</v>
      </c>
      <c r="AD63" s="24">
        <f t="shared" si="40"/>
        <v>6.7407946995320254</v>
      </c>
      <c r="AE63" s="24">
        <f t="shared" si="41"/>
        <v>-45.583999999999996</v>
      </c>
      <c r="AF63" s="24">
        <f t="shared" si="42"/>
        <v>1.4615332445876361</v>
      </c>
      <c r="AG63" s="24">
        <f t="shared" si="43"/>
        <v>81885.056653708438</v>
      </c>
    </row>
    <row r="64" spans="1:33" x14ac:dyDescent="0.25">
      <c r="A64" t="s">
        <v>86</v>
      </c>
      <c r="B64" t="s">
        <v>82</v>
      </c>
      <c r="C64" s="1">
        <v>43602</v>
      </c>
      <c r="D64">
        <v>192</v>
      </c>
      <c r="E64">
        <v>8</v>
      </c>
      <c r="F64" t="s">
        <v>18</v>
      </c>
      <c r="G64">
        <v>124.96</v>
      </c>
      <c r="H64">
        <v>76.430000000000007</v>
      </c>
      <c r="I64" t="s">
        <v>20</v>
      </c>
      <c r="J64">
        <v>104.7</v>
      </c>
      <c r="K64">
        <v>9</v>
      </c>
      <c r="L64" s="30">
        <f t="shared" si="29"/>
        <v>2.4623105019904807</v>
      </c>
      <c r="N64" s="29">
        <f t="shared" si="30"/>
        <v>2.4623105019904807</v>
      </c>
      <c r="O64" s="29">
        <f t="shared" si="31"/>
        <v>6.7043727860592695</v>
      </c>
      <c r="R64" s="24">
        <f t="shared" si="32"/>
        <v>46.068000000000005</v>
      </c>
      <c r="S64" s="24">
        <f t="shared" si="33"/>
        <v>0.157</v>
      </c>
      <c r="T64" s="24">
        <v>0.14899999999999999</v>
      </c>
      <c r="U64" s="24">
        <v>9.81</v>
      </c>
      <c r="V64" s="24">
        <f t="shared" si="34"/>
        <v>2.0516402794757762</v>
      </c>
      <c r="W64" s="24">
        <f t="shared" si="35"/>
        <v>-3.9593978488307133</v>
      </c>
      <c r="X64" s="24">
        <f t="shared" si="36"/>
        <v>3.9593978488307133</v>
      </c>
      <c r="Y64" s="24">
        <f t="shared" si="37"/>
        <v>5.8506021511692872</v>
      </c>
      <c r="AA64" s="24">
        <f t="shared" si="38"/>
        <v>13.769397848830714</v>
      </c>
      <c r="AB64" s="24">
        <f t="shared" si="39"/>
        <v>1.8993679196513287</v>
      </c>
      <c r="AC64" s="24">
        <v>2.5</v>
      </c>
      <c r="AD64" s="24">
        <f t="shared" si="40"/>
        <v>6.8846989244153569</v>
      </c>
      <c r="AE64" s="24">
        <f t="shared" si="41"/>
        <v>-46.068000000000005</v>
      </c>
      <c r="AF64" s="24">
        <f t="shared" si="42"/>
        <v>-0.60063208034867133</v>
      </c>
      <c r="AG64" s="24">
        <f t="shared" si="43"/>
        <v>-35103.642665955187</v>
      </c>
    </row>
    <row r="65" spans="1:33" x14ac:dyDescent="0.25">
      <c r="A65" t="s">
        <v>86</v>
      </c>
      <c r="B65" t="s">
        <v>82</v>
      </c>
      <c r="C65" s="1">
        <v>44328</v>
      </c>
      <c r="D65">
        <v>84</v>
      </c>
      <c r="E65">
        <v>9</v>
      </c>
      <c r="F65" t="s">
        <v>22</v>
      </c>
      <c r="G65">
        <v>173.08</v>
      </c>
      <c r="H65">
        <v>149.88</v>
      </c>
      <c r="I65" t="s">
        <v>20</v>
      </c>
      <c r="J65">
        <v>69.7</v>
      </c>
      <c r="K65">
        <v>7</v>
      </c>
      <c r="L65" s="30">
        <f t="shared" si="29"/>
        <v>1.2243445484856421</v>
      </c>
      <c r="N65" s="29">
        <f t="shared" si="30"/>
        <v>1.2243445484856421</v>
      </c>
      <c r="O65" s="29">
        <f t="shared" si="31"/>
        <v>4.6011377878292441</v>
      </c>
      <c r="R65" s="24">
        <f t="shared" si="32"/>
        <v>30.668000000000003</v>
      </c>
      <c r="S65" s="24">
        <f t="shared" si="33"/>
        <v>0.12211111111111111</v>
      </c>
      <c r="T65" s="24">
        <v>0.14899999999999999</v>
      </c>
      <c r="U65" s="24">
        <v>9.81</v>
      </c>
      <c r="V65" s="24">
        <f t="shared" si="34"/>
        <v>0.90922927337017612</v>
      </c>
      <c r="W65" s="24">
        <f t="shared" si="35"/>
        <v>3.707790111609556</v>
      </c>
      <c r="X65" s="24">
        <f t="shared" si="36"/>
        <v>3.707790111609556</v>
      </c>
      <c r="Y65" s="24">
        <f t="shared" si="37"/>
        <v>6.1022098883904441</v>
      </c>
      <c r="AA65" s="24">
        <f t="shared" si="38"/>
        <v>13.517790111609557</v>
      </c>
      <c r="AB65" s="24">
        <f t="shared" si="39"/>
        <v>0.51871581200582517</v>
      </c>
      <c r="AC65" s="24">
        <v>2.5</v>
      </c>
      <c r="AD65" s="24">
        <f t="shared" si="40"/>
        <v>6.7588950558047785</v>
      </c>
      <c r="AE65" s="24">
        <f t="shared" si="41"/>
        <v>-30.668000000000003</v>
      </c>
      <c r="AF65" s="24">
        <f t="shared" si="42"/>
        <v>-1.9812841879941749</v>
      </c>
      <c r="AG65" s="24">
        <f t="shared" si="43"/>
        <v>-50379.44482970149</v>
      </c>
    </row>
    <row r="66" spans="1:33" x14ac:dyDescent="0.25">
      <c r="A66" t="s">
        <v>86</v>
      </c>
      <c r="B66" t="s">
        <v>82</v>
      </c>
      <c r="C66" s="1">
        <v>44101</v>
      </c>
      <c r="D66">
        <v>263</v>
      </c>
      <c r="E66">
        <v>8</v>
      </c>
      <c r="F66" t="s">
        <v>13</v>
      </c>
      <c r="G66">
        <v>143.88</v>
      </c>
      <c r="H66">
        <v>90.12</v>
      </c>
      <c r="I66" t="s">
        <v>20</v>
      </c>
      <c r="J66">
        <v>77</v>
      </c>
      <c r="K66">
        <v>25</v>
      </c>
      <c r="L66" s="30">
        <f t="shared" si="29"/>
        <v>3.8433730977863476</v>
      </c>
      <c r="N66" s="29">
        <f t="shared" si="30"/>
        <v>3.8433730977863476</v>
      </c>
      <c r="O66" s="29">
        <f t="shared" si="31"/>
        <v>5.370372515577313</v>
      </c>
      <c r="R66" s="24">
        <f t="shared" si="32"/>
        <v>33.880000000000003</v>
      </c>
      <c r="S66" s="24">
        <f t="shared" si="33"/>
        <v>0.43611111111111112</v>
      </c>
      <c r="T66" s="24">
        <v>0.14899999999999999</v>
      </c>
      <c r="U66" s="24">
        <v>9.81</v>
      </c>
      <c r="V66" s="24">
        <f t="shared" si="34"/>
        <v>1.1096583969856002</v>
      </c>
      <c r="W66" s="24">
        <f t="shared" si="35"/>
        <v>2.3626282081503338</v>
      </c>
      <c r="X66" s="24">
        <f t="shared" si="36"/>
        <v>2.3626282081503338</v>
      </c>
      <c r="Y66" s="24">
        <f t="shared" si="37"/>
        <v>7.4473717918496671</v>
      </c>
      <c r="AA66" s="24">
        <f t="shared" si="38"/>
        <v>12.172628208150334</v>
      </c>
      <c r="AB66" s="24">
        <f t="shared" si="39"/>
        <v>8.9134385646065706</v>
      </c>
      <c r="AC66" s="24">
        <v>2.5</v>
      </c>
      <c r="AD66" s="24">
        <f t="shared" si="40"/>
        <v>6.0863141040751669</v>
      </c>
      <c r="AE66" s="24">
        <f t="shared" si="41"/>
        <v>-33.880000000000003</v>
      </c>
      <c r="AF66" s="24">
        <f t="shared" si="42"/>
        <v>6.4134385646065706</v>
      </c>
      <c r="AG66" s="24">
        <f t="shared" si="43"/>
        <v>179222.3201886311</v>
      </c>
    </row>
    <row r="67" spans="1:33" x14ac:dyDescent="0.25">
      <c r="A67" t="s">
        <v>86</v>
      </c>
      <c r="B67" t="s">
        <v>82</v>
      </c>
      <c r="C67" s="1">
        <v>44067</v>
      </c>
      <c r="D67">
        <v>285</v>
      </c>
      <c r="E67">
        <v>9</v>
      </c>
      <c r="F67" t="s">
        <v>22</v>
      </c>
      <c r="G67">
        <v>211.58</v>
      </c>
      <c r="H67">
        <v>113.73</v>
      </c>
      <c r="I67" t="s">
        <v>20</v>
      </c>
      <c r="J67">
        <v>96.7</v>
      </c>
      <c r="K67">
        <v>16</v>
      </c>
      <c r="L67" s="30">
        <f t="shared" si="29"/>
        <v>2.977242923504638</v>
      </c>
      <c r="N67" s="29">
        <f t="shared" si="30"/>
        <v>2.977242923504638</v>
      </c>
      <c r="O67" s="29">
        <f t="shared" si="31"/>
        <v>7.1617818051044297</v>
      </c>
      <c r="R67" s="24">
        <f t="shared" si="32"/>
        <v>42.548000000000002</v>
      </c>
      <c r="S67" s="24">
        <f t="shared" si="33"/>
        <v>0.27911111111111114</v>
      </c>
      <c r="T67" s="24">
        <v>0.14899999999999999</v>
      </c>
      <c r="U67" s="24">
        <v>9.81</v>
      </c>
      <c r="V67" s="24">
        <f t="shared" si="34"/>
        <v>1.7500916862520961</v>
      </c>
      <c r="W67" s="24">
        <f t="shared" si="35"/>
        <v>-1.9355817869268199</v>
      </c>
      <c r="X67" s="24">
        <f t="shared" si="36"/>
        <v>1.9355817869268199</v>
      </c>
      <c r="Y67" s="24">
        <f t="shared" si="37"/>
        <v>7.8744182130731808</v>
      </c>
      <c r="AA67" s="24">
        <f t="shared" si="38"/>
        <v>11.74558178692682</v>
      </c>
      <c r="AB67" s="24">
        <f t="shared" si="39"/>
        <v>5.9974778734458409</v>
      </c>
      <c r="AC67" s="24">
        <v>2.5</v>
      </c>
      <c r="AD67" s="24">
        <f t="shared" si="40"/>
        <v>5.8727908934634101</v>
      </c>
      <c r="AE67" s="24">
        <f t="shared" si="41"/>
        <v>-42.548000000000002</v>
      </c>
      <c r="AF67" s="24">
        <f t="shared" si="42"/>
        <v>3.4974778734458409</v>
      </c>
      <c r="AG67" s="24">
        <f t="shared" si="43"/>
        <v>148736.58496452792</v>
      </c>
    </row>
    <row r="68" spans="1:33" x14ac:dyDescent="0.25">
      <c r="A68" t="s">
        <v>86</v>
      </c>
      <c r="B68" t="s">
        <v>82</v>
      </c>
      <c r="C68" s="1">
        <v>44053</v>
      </c>
      <c r="D68">
        <v>192</v>
      </c>
      <c r="E68">
        <v>8</v>
      </c>
      <c r="F68" t="s">
        <v>18</v>
      </c>
      <c r="G68">
        <v>120.77</v>
      </c>
      <c r="H68">
        <v>120.23</v>
      </c>
      <c r="I68" t="s">
        <v>20</v>
      </c>
      <c r="J68">
        <v>105.2</v>
      </c>
      <c r="K68">
        <v>7</v>
      </c>
      <c r="L68" s="30">
        <f t="shared" si="29"/>
        <v>1.9718357016011316</v>
      </c>
      <c r="N68" s="29">
        <f t="shared" si="30"/>
        <v>1.9718357016011316</v>
      </c>
      <c r="O68" s="29">
        <f t="shared" si="31"/>
        <v>6.6886155383039751</v>
      </c>
      <c r="R68" s="24">
        <f t="shared" si="32"/>
        <v>46.288000000000004</v>
      </c>
      <c r="S68" s="24">
        <f t="shared" si="33"/>
        <v>0.12211111111111111</v>
      </c>
      <c r="T68" s="24">
        <v>0.14899999999999999</v>
      </c>
      <c r="U68" s="24">
        <v>9.81</v>
      </c>
      <c r="V68" s="24">
        <f t="shared" si="34"/>
        <v>2.0712824870594564</v>
      </c>
      <c r="W68" s="24">
        <f t="shared" si="35"/>
        <v>-4.09122474536548</v>
      </c>
      <c r="X68" s="24">
        <f t="shared" si="36"/>
        <v>4.09122474536548</v>
      </c>
      <c r="Y68" s="24">
        <f t="shared" si="37"/>
        <v>5.7187752546345205</v>
      </c>
      <c r="AA68" s="24">
        <f t="shared" si="38"/>
        <v>13.90122474536548</v>
      </c>
      <c r="AB68" s="24">
        <f t="shared" si="39"/>
        <v>1.149074122738404</v>
      </c>
      <c r="AC68" s="24">
        <v>2.5</v>
      </c>
      <c r="AD68" s="24">
        <f t="shared" si="40"/>
        <v>6.9506123726827402</v>
      </c>
      <c r="AE68" s="24">
        <f t="shared" si="41"/>
        <v>-46.288000000000004</v>
      </c>
      <c r="AF68" s="24">
        <f t="shared" si="42"/>
        <v>-1.350925877261596</v>
      </c>
      <c r="AG68" s="24">
        <f t="shared" si="43"/>
        <v>-80473.226404827044</v>
      </c>
    </row>
    <row r="69" spans="1:33" x14ac:dyDescent="0.25">
      <c r="A69" t="s">
        <v>86</v>
      </c>
      <c r="B69" t="s">
        <v>82</v>
      </c>
      <c r="C69" s="1">
        <v>44053</v>
      </c>
      <c r="D69">
        <v>348</v>
      </c>
      <c r="E69">
        <v>7</v>
      </c>
      <c r="F69" t="s">
        <v>13</v>
      </c>
      <c r="G69">
        <v>90.78</v>
      </c>
      <c r="H69">
        <v>56.04</v>
      </c>
      <c r="I69" t="s">
        <v>20</v>
      </c>
      <c r="J69">
        <v>89.1</v>
      </c>
      <c r="K69">
        <v>28</v>
      </c>
      <c r="L69" s="30">
        <f t="shared" si="29"/>
        <v>3.8135065948546703</v>
      </c>
      <c r="N69" s="29">
        <f t="shared" si="30"/>
        <v>3.8135065948546703</v>
      </c>
      <c r="O69" s="29">
        <f t="shared" si="31"/>
        <v>7.4393173778486119</v>
      </c>
      <c r="R69" s="24">
        <f t="shared" si="32"/>
        <v>39.204000000000001</v>
      </c>
      <c r="S69" s="24">
        <f t="shared" si="33"/>
        <v>0.48844444444444446</v>
      </c>
      <c r="T69" s="24">
        <v>0.14899999999999999</v>
      </c>
      <c r="U69" s="24">
        <v>9.81</v>
      </c>
      <c r="V69" s="24">
        <f t="shared" si="34"/>
        <v>1.4858099474739839</v>
      </c>
      <c r="W69" s="24">
        <f t="shared" si="35"/>
        <v>-0.16187884210727477</v>
      </c>
      <c r="X69" s="24">
        <f t="shared" si="36"/>
        <v>0.16187884210727477</v>
      </c>
      <c r="Y69" s="24">
        <f t="shared" si="37"/>
        <v>9.6481211578927262</v>
      </c>
      <c r="AA69" s="24">
        <f t="shared" si="38"/>
        <v>9.9718788421072748</v>
      </c>
      <c r="AB69" s="24">
        <f t="shared" si="39"/>
        <v>18.211944089520259</v>
      </c>
      <c r="AC69" s="24">
        <v>2.5</v>
      </c>
      <c r="AD69" s="24">
        <f t="shared" si="40"/>
        <v>4.9859394210536374</v>
      </c>
      <c r="AE69" s="24">
        <f t="shared" si="41"/>
        <v>-39.204000000000001</v>
      </c>
      <c r="AF69" s="24">
        <f t="shared" si="42"/>
        <v>15.711944089520259</v>
      </c>
      <c r="AG69" s="24">
        <f t="shared" si="43"/>
        <v>481612.41644588363</v>
      </c>
    </row>
    <row r="70" spans="1:33" x14ac:dyDescent="0.25">
      <c r="A70" t="s">
        <v>86</v>
      </c>
      <c r="B70" t="s">
        <v>82</v>
      </c>
      <c r="C70" s="1">
        <v>43645</v>
      </c>
      <c r="D70">
        <v>240</v>
      </c>
      <c r="E70">
        <v>9</v>
      </c>
      <c r="F70" t="s">
        <v>13</v>
      </c>
      <c r="G70">
        <v>188.45</v>
      </c>
      <c r="H70">
        <v>119.65</v>
      </c>
      <c r="I70" t="s">
        <v>17</v>
      </c>
      <c r="J70">
        <v>86.2</v>
      </c>
      <c r="K70">
        <v>54</v>
      </c>
      <c r="L70" s="30">
        <f t="shared" si="29"/>
        <v>5.5684002428202506</v>
      </c>
      <c r="N70" s="29">
        <f t="shared" si="30"/>
        <v>6.5729545518461157</v>
      </c>
      <c r="O70" s="29">
        <f t="shared" si="31"/>
        <v>5.5684002428202506</v>
      </c>
      <c r="R70" s="24">
        <f t="shared" si="32"/>
        <v>37.928000000000004</v>
      </c>
      <c r="S70" s="24">
        <f t="shared" si="33"/>
        <v>0.94200000000000006</v>
      </c>
      <c r="T70" s="24">
        <v>0.14899999999999999</v>
      </c>
      <c r="U70" s="24">
        <v>9.81</v>
      </c>
      <c r="V70" s="24">
        <f t="shared" si="34"/>
        <v>1.3906645537692164</v>
      </c>
      <c r="W70" s="24">
        <f t="shared" si="35"/>
        <v>0.47668084718646681</v>
      </c>
      <c r="X70" s="24">
        <f t="shared" si="36"/>
        <v>0.47668084718646681</v>
      </c>
      <c r="Y70" s="24">
        <f t="shared" si="37"/>
        <v>9.3333191528135337</v>
      </c>
      <c r="AA70" s="24">
        <f t="shared" si="38"/>
        <v>10.286680847186467</v>
      </c>
      <c r="AB70" s="24">
        <f t="shared" si="39"/>
        <v>54.218309925677282</v>
      </c>
      <c r="AC70" s="24">
        <v>2.5</v>
      </c>
      <c r="AD70" s="24">
        <f t="shared" si="40"/>
        <v>5.1433404235932336</v>
      </c>
      <c r="AE70" s="24">
        <f t="shared" si="41"/>
        <v>-37.928000000000004</v>
      </c>
      <c r="AF70" s="24">
        <f t="shared" si="42"/>
        <v>51.718309925677282</v>
      </c>
      <c r="AG70" s="24">
        <f t="shared" si="43"/>
        <v>1530627.353883079</v>
      </c>
    </row>
    <row r="71" spans="1:33" x14ac:dyDescent="0.25">
      <c r="A71" t="s">
        <v>86</v>
      </c>
      <c r="B71" t="s">
        <v>82</v>
      </c>
      <c r="C71" s="1">
        <v>43627</v>
      </c>
      <c r="D71">
        <v>363</v>
      </c>
      <c r="E71">
        <v>8</v>
      </c>
      <c r="F71" t="s">
        <v>13</v>
      </c>
      <c r="G71">
        <v>110.28</v>
      </c>
      <c r="H71">
        <v>46.18</v>
      </c>
      <c r="I71" t="s">
        <v>20</v>
      </c>
      <c r="J71">
        <v>95.7</v>
      </c>
      <c r="K71">
        <v>22</v>
      </c>
      <c r="L71" s="30">
        <f t="shared" si="29"/>
        <v>3.8852042261292774</v>
      </c>
      <c r="N71" s="29">
        <f t="shared" si="30"/>
        <v>3.8852042261292774</v>
      </c>
      <c r="O71" s="29">
        <f t="shared" si="31"/>
        <v>7.1050832713075067</v>
      </c>
      <c r="R71" s="24">
        <f t="shared" si="32"/>
        <v>42.108000000000004</v>
      </c>
      <c r="S71" s="24">
        <f t="shared" si="33"/>
        <v>0.38377777777777777</v>
      </c>
      <c r="T71" s="24">
        <v>0.14899999999999999</v>
      </c>
      <c r="U71" s="24">
        <v>9.81</v>
      </c>
      <c r="V71" s="24">
        <f t="shared" si="34"/>
        <v>1.7140825319967363</v>
      </c>
      <c r="W71" s="24">
        <f t="shared" si="35"/>
        <v>-1.6939096107163516</v>
      </c>
      <c r="X71" s="24">
        <f t="shared" si="36"/>
        <v>1.6939096107163516</v>
      </c>
      <c r="Y71" s="24">
        <f t="shared" si="37"/>
        <v>8.1160903892836487</v>
      </c>
      <c r="AA71" s="24">
        <f t="shared" si="38"/>
        <v>11.503909610716352</v>
      </c>
      <c r="AB71" s="24">
        <f t="shared" si="39"/>
        <v>11.309465816725126</v>
      </c>
      <c r="AC71" s="24">
        <v>2.5</v>
      </c>
      <c r="AD71" s="24">
        <f t="shared" si="40"/>
        <v>5.7519548053581762</v>
      </c>
      <c r="AE71" s="24">
        <f t="shared" si="41"/>
        <v>-42.108000000000004</v>
      </c>
      <c r="AF71" s="24">
        <f t="shared" si="42"/>
        <v>8.8094658167251261</v>
      </c>
      <c r="AG71" s="24">
        <f t="shared" si="43"/>
        <v>359380.29396131978</v>
      </c>
    </row>
    <row r="72" spans="1:33" x14ac:dyDescent="0.25">
      <c r="A72" t="s">
        <v>86</v>
      </c>
      <c r="B72" t="s">
        <v>82</v>
      </c>
      <c r="C72" s="1">
        <v>43608</v>
      </c>
      <c r="D72">
        <v>377</v>
      </c>
      <c r="E72">
        <v>9</v>
      </c>
      <c r="F72" t="s">
        <v>22</v>
      </c>
      <c r="G72">
        <v>161.22999999999999</v>
      </c>
      <c r="H72">
        <v>42.96</v>
      </c>
      <c r="I72" t="s">
        <v>17</v>
      </c>
      <c r="J72">
        <v>99.7</v>
      </c>
      <c r="K72">
        <v>25</v>
      </c>
      <c r="L72" s="30">
        <f t="shared" si="29"/>
        <v>6.7401087703854268</v>
      </c>
      <c r="N72" s="29">
        <f t="shared" si="30"/>
        <v>5.1947769803666688</v>
      </c>
      <c r="O72" s="29">
        <f t="shared" si="31"/>
        <v>6.7401087703854268</v>
      </c>
      <c r="R72" s="24">
        <f t="shared" si="32"/>
        <v>43.868000000000002</v>
      </c>
      <c r="S72" s="24">
        <f t="shared" si="33"/>
        <v>0.43611111111111112</v>
      </c>
      <c r="T72" s="24">
        <v>0.14899999999999999</v>
      </c>
      <c r="U72" s="24">
        <v>9.81</v>
      </c>
      <c r="V72" s="24">
        <f t="shared" si="34"/>
        <v>1.860365042214976</v>
      </c>
      <c r="W72" s="24">
        <f t="shared" si="35"/>
        <v>-2.6756714242615844</v>
      </c>
      <c r="X72" s="24">
        <f t="shared" si="36"/>
        <v>2.6756714242615844</v>
      </c>
      <c r="Y72" s="24">
        <f t="shared" si="37"/>
        <v>7.1343285757384161</v>
      </c>
      <c r="AA72" s="24">
        <f t="shared" si="38"/>
        <v>12.485671424261586</v>
      </c>
      <c r="AB72" s="24">
        <f t="shared" si="39"/>
        <v>14.56889446850046</v>
      </c>
      <c r="AC72" s="24">
        <v>2.5</v>
      </c>
      <c r="AD72" s="24">
        <f t="shared" si="40"/>
        <v>6.2428357121307929</v>
      </c>
      <c r="AE72" s="24">
        <f t="shared" si="41"/>
        <v>-43.868000000000002</v>
      </c>
      <c r="AF72" s="24">
        <f t="shared" si="42"/>
        <v>12.06889446850046</v>
      </c>
      <c r="AG72" s="24">
        <f t="shared" si="43"/>
        <v>579969.36879216484</v>
      </c>
    </row>
    <row r="73" spans="1:33" x14ac:dyDescent="0.25">
      <c r="A73" t="s">
        <v>86</v>
      </c>
      <c r="B73" t="s">
        <v>82</v>
      </c>
      <c r="C73" s="1">
        <v>43608</v>
      </c>
      <c r="D73">
        <v>256</v>
      </c>
      <c r="E73">
        <v>9</v>
      </c>
      <c r="F73" t="s">
        <v>13</v>
      </c>
      <c r="G73">
        <v>173.57</v>
      </c>
      <c r="H73">
        <v>102.87</v>
      </c>
      <c r="I73" t="s">
        <v>17</v>
      </c>
      <c r="J73">
        <v>76.599999999999994</v>
      </c>
      <c r="K73">
        <v>33</v>
      </c>
      <c r="L73" s="30">
        <f t="shared" si="29"/>
        <v>5.0998590406058835</v>
      </c>
      <c r="N73" s="29">
        <f t="shared" si="30"/>
        <v>4.9790415694279151</v>
      </c>
      <c r="O73" s="29">
        <f t="shared" si="31"/>
        <v>5.0998590406058835</v>
      </c>
      <c r="R73" s="24">
        <f t="shared" si="32"/>
        <v>33.704000000000001</v>
      </c>
      <c r="S73" s="24">
        <f t="shared" si="33"/>
        <v>0.57566666666666666</v>
      </c>
      <c r="T73" s="24">
        <v>0.14899999999999999</v>
      </c>
      <c r="U73" s="24">
        <v>9.81</v>
      </c>
      <c r="V73" s="24">
        <f t="shared" si="34"/>
        <v>1.0981594238179841</v>
      </c>
      <c r="W73" s="24">
        <f t="shared" si="35"/>
        <v>2.4398025247115154</v>
      </c>
      <c r="X73" s="24">
        <f t="shared" si="36"/>
        <v>2.4398025247115154</v>
      </c>
      <c r="Y73" s="24">
        <f t="shared" si="37"/>
        <v>7.3701974752884851</v>
      </c>
      <c r="AA73" s="24">
        <f t="shared" si="38"/>
        <v>12.249802524711516</v>
      </c>
      <c r="AB73" s="24">
        <f t="shared" si="39"/>
        <v>15.085773445192229</v>
      </c>
      <c r="AC73" s="24">
        <v>2.5</v>
      </c>
      <c r="AD73" s="24">
        <f t="shared" si="40"/>
        <v>6.1249012623557579</v>
      </c>
      <c r="AE73" s="24">
        <f t="shared" si="41"/>
        <v>-33.704000000000001</v>
      </c>
      <c r="AF73" s="24">
        <f t="shared" si="42"/>
        <v>12.585773445192229</v>
      </c>
      <c r="AG73" s="24">
        <f t="shared" si="43"/>
        <v>350269.14748075884</v>
      </c>
    </row>
    <row r="74" spans="1:33" x14ac:dyDescent="0.25">
      <c r="A74" t="s">
        <v>86</v>
      </c>
      <c r="B74" t="s">
        <v>82</v>
      </c>
      <c r="C74" s="1">
        <v>43602</v>
      </c>
      <c r="D74">
        <v>259</v>
      </c>
      <c r="E74">
        <v>8</v>
      </c>
      <c r="F74" t="s">
        <v>18</v>
      </c>
      <c r="G74">
        <v>126.45</v>
      </c>
      <c r="H74">
        <v>90.64</v>
      </c>
      <c r="I74" t="s">
        <v>20</v>
      </c>
      <c r="J74">
        <v>78.8</v>
      </c>
      <c r="K74">
        <v>19</v>
      </c>
      <c r="L74" s="30">
        <f t="shared" si="29"/>
        <v>2.8931082963368784</v>
      </c>
      <c r="N74" s="29">
        <f t="shared" si="30"/>
        <v>2.8931082963368784</v>
      </c>
      <c r="O74" s="29">
        <f t="shared" si="31"/>
        <v>5.7764122115814134</v>
      </c>
      <c r="R74" s="24">
        <f t="shared" si="32"/>
        <v>34.671999999999997</v>
      </c>
      <c r="S74" s="24">
        <f t="shared" si="33"/>
        <v>0.33144444444444449</v>
      </c>
      <c r="T74" s="24">
        <v>0.14899999999999999</v>
      </c>
      <c r="U74" s="24">
        <v>9.81</v>
      </c>
      <c r="V74" s="24">
        <f t="shared" si="34"/>
        <v>1.1621449209948158</v>
      </c>
      <c r="W74" s="24">
        <f t="shared" si="35"/>
        <v>2.0103696577529138</v>
      </c>
      <c r="X74" s="24">
        <f t="shared" si="36"/>
        <v>2.0103696577529138</v>
      </c>
      <c r="Y74" s="24">
        <f t="shared" si="37"/>
        <v>7.7996303422470863</v>
      </c>
      <c r="AA74" s="24">
        <f t="shared" si="38"/>
        <v>11.820369657752915</v>
      </c>
      <c r="AB74" s="24">
        <f t="shared" si="39"/>
        <v>5.5749932210707165</v>
      </c>
      <c r="AC74" s="24">
        <v>2.5</v>
      </c>
      <c r="AD74" s="24">
        <f t="shared" si="40"/>
        <v>5.9101848288764574</v>
      </c>
      <c r="AE74" s="24">
        <f t="shared" si="41"/>
        <v>-34.671999999999997</v>
      </c>
      <c r="AF74" s="24">
        <f t="shared" si="42"/>
        <v>3.0749932210707165</v>
      </c>
      <c r="AG74" s="24">
        <f t="shared" si="43"/>
        <v>87390.254625386122</v>
      </c>
    </row>
    <row r="75" spans="1:33" x14ac:dyDescent="0.25">
      <c r="A75" t="s">
        <v>86</v>
      </c>
      <c r="B75" t="s">
        <v>82</v>
      </c>
      <c r="C75" s="1">
        <v>44350</v>
      </c>
      <c r="D75">
        <v>288</v>
      </c>
      <c r="E75">
        <v>9</v>
      </c>
      <c r="F75" t="s">
        <v>13</v>
      </c>
      <c r="G75">
        <v>168.37</v>
      </c>
      <c r="H75">
        <v>91.38</v>
      </c>
      <c r="I75" t="s">
        <v>17</v>
      </c>
      <c r="J75">
        <v>89.4</v>
      </c>
      <c r="K75">
        <v>38</v>
      </c>
      <c r="L75" s="30">
        <f t="shared" si="29"/>
        <v>6.9710505222554158</v>
      </c>
      <c r="N75" s="29">
        <f t="shared" si="30"/>
        <v>5.0532505181027574</v>
      </c>
      <c r="O75" s="29">
        <f t="shared" si="31"/>
        <v>6.9710505222554158</v>
      </c>
      <c r="R75" s="24">
        <f t="shared" si="32"/>
        <v>39.336000000000006</v>
      </c>
      <c r="S75" s="24">
        <f t="shared" si="33"/>
        <v>0.66288888888888897</v>
      </c>
      <c r="T75" s="24">
        <v>0.14899999999999999</v>
      </c>
      <c r="U75" s="24">
        <v>9.81</v>
      </c>
      <c r="V75" s="24">
        <f t="shared" si="34"/>
        <v>1.4958322458647044</v>
      </c>
      <c r="W75" s="24">
        <f t="shared" si="35"/>
        <v>-0.22914258969600329</v>
      </c>
      <c r="X75" s="24">
        <f t="shared" si="36"/>
        <v>0.22914258969600329</v>
      </c>
      <c r="Y75" s="24">
        <f t="shared" si="37"/>
        <v>9.580857410303997</v>
      </c>
      <c r="AA75" s="24">
        <f t="shared" si="38"/>
        <v>10.039142589696004</v>
      </c>
      <c r="AB75" s="24">
        <f t="shared" si="39"/>
        <v>32.784438677245006</v>
      </c>
      <c r="AC75" s="24">
        <v>2.5</v>
      </c>
      <c r="AD75" s="24">
        <f t="shared" si="40"/>
        <v>5.019571294848002</v>
      </c>
      <c r="AE75" s="24">
        <f t="shared" si="41"/>
        <v>-39.336000000000006</v>
      </c>
      <c r="AF75" s="24">
        <f t="shared" si="42"/>
        <v>30.284438677245006</v>
      </c>
      <c r="AG75" s="24">
        <f t="shared" si="43"/>
        <v>940863.31930570141</v>
      </c>
    </row>
    <row r="76" spans="1:33" x14ac:dyDescent="0.25">
      <c r="A76" t="s">
        <v>86</v>
      </c>
      <c r="B76" t="s">
        <v>82</v>
      </c>
      <c r="C76" s="1">
        <v>44330</v>
      </c>
      <c r="D76">
        <v>280</v>
      </c>
      <c r="E76">
        <v>9</v>
      </c>
      <c r="F76" t="s">
        <v>22</v>
      </c>
      <c r="G76">
        <v>224.96</v>
      </c>
      <c r="H76">
        <v>112.38</v>
      </c>
      <c r="I76" t="s">
        <v>20</v>
      </c>
      <c r="J76">
        <v>98.6</v>
      </c>
      <c r="K76">
        <v>18</v>
      </c>
      <c r="L76" s="30">
        <f t="shared" si="29"/>
        <v>3.6175061842207152</v>
      </c>
      <c r="N76" s="29">
        <f t="shared" si="30"/>
        <v>3.6175061842207152</v>
      </c>
      <c r="O76" s="29">
        <f t="shared" si="31"/>
        <v>6.9860972085621098</v>
      </c>
      <c r="R76" s="24">
        <f t="shared" si="32"/>
        <v>43.384</v>
      </c>
      <c r="S76" s="24">
        <f t="shared" si="33"/>
        <v>0.314</v>
      </c>
      <c r="T76" s="24">
        <v>0.14899999999999999</v>
      </c>
      <c r="U76" s="24">
        <v>9.81</v>
      </c>
      <c r="V76" s="24">
        <f t="shared" si="34"/>
        <v>1.819540318630144</v>
      </c>
      <c r="W76" s="24">
        <f t="shared" si="35"/>
        <v>-2.4016799908063362</v>
      </c>
      <c r="X76" s="24">
        <f t="shared" si="36"/>
        <v>2.4016799908063362</v>
      </c>
      <c r="Y76" s="24">
        <f t="shared" si="37"/>
        <v>7.4083200091936643</v>
      </c>
      <c r="AA76" s="24">
        <f t="shared" si="38"/>
        <v>12.211679990806337</v>
      </c>
      <c r="AB76" s="24">
        <f t="shared" si="39"/>
        <v>7.5859364184140725</v>
      </c>
      <c r="AC76" s="24">
        <v>2.5</v>
      </c>
      <c r="AD76" s="24">
        <f t="shared" si="40"/>
        <v>6.1058399954031684</v>
      </c>
      <c r="AE76" s="24">
        <f t="shared" si="41"/>
        <v>-43.384</v>
      </c>
      <c r="AF76" s="24">
        <f t="shared" si="42"/>
        <v>5.0859364184140725</v>
      </c>
      <c r="AG76" s="24">
        <f t="shared" si="43"/>
        <v>233795.16209367357</v>
      </c>
    </row>
    <row r="77" spans="1:33" x14ac:dyDescent="0.25">
      <c r="A77" t="s">
        <v>86</v>
      </c>
      <c r="B77" t="s">
        <v>82</v>
      </c>
      <c r="C77" s="1">
        <v>44092</v>
      </c>
      <c r="D77">
        <v>166</v>
      </c>
      <c r="E77">
        <v>7</v>
      </c>
      <c r="F77" t="s">
        <v>18</v>
      </c>
      <c r="G77">
        <v>81</v>
      </c>
      <c r="H77">
        <v>108.28</v>
      </c>
      <c r="I77" t="s">
        <v>20</v>
      </c>
      <c r="J77">
        <v>78.7</v>
      </c>
      <c r="K77">
        <v>14</v>
      </c>
      <c r="L77" s="30">
        <f t="shared" si="29"/>
        <v>2.1525126130781538</v>
      </c>
      <c r="N77" s="29">
        <f t="shared" si="30"/>
        <v>2.1525126130781538</v>
      </c>
      <c r="O77" s="29">
        <f t="shared" si="31"/>
        <v>5.8342389116044879</v>
      </c>
      <c r="R77" s="24">
        <f t="shared" si="32"/>
        <v>34.628</v>
      </c>
      <c r="S77" s="24">
        <f t="shared" si="33"/>
        <v>0.24422222222222223</v>
      </c>
      <c r="T77" s="24">
        <v>0.14899999999999999</v>
      </c>
      <c r="U77" s="24">
        <v>9.81</v>
      </c>
      <c r="V77" s="24">
        <f t="shared" si="34"/>
        <v>1.1591971861740158</v>
      </c>
      <c r="W77" s="24">
        <f t="shared" si="35"/>
        <v>2.0301531129260684</v>
      </c>
      <c r="X77" s="24">
        <f t="shared" si="36"/>
        <v>2.0301531129260684</v>
      </c>
      <c r="Y77" s="24">
        <f t="shared" si="37"/>
        <v>7.7798468870739317</v>
      </c>
      <c r="AA77" s="24">
        <f t="shared" si="38"/>
        <v>11.840153112926069</v>
      </c>
      <c r="AB77" s="24">
        <f t="shared" si="39"/>
        <v>3.0184246039755602</v>
      </c>
      <c r="AC77" s="24">
        <v>2.5</v>
      </c>
      <c r="AD77" s="24">
        <f t="shared" si="40"/>
        <v>5.9200765564630347</v>
      </c>
      <c r="AE77" s="24">
        <f t="shared" si="41"/>
        <v>-34.628</v>
      </c>
      <c r="AF77" s="24">
        <f t="shared" si="42"/>
        <v>0.51842460397556023</v>
      </c>
      <c r="AG77" s="24">
        <f t="shared" si="43"/>
        <v>14720.675405800765</v>
      </c>
    </row>
    <row r="78" spans="1:33" x14ac:dyDescent="0.25">
      <c r="A78" t="s">
        <v>86</v>
      </c>
      <c r="B78" t="s">
        <v>82</v>
      </c>
      <c r="C78" s="1">
        <v>44079</v>
      </c>
      <c r="D78">
        <v>277</v>
      </c>
      <c r="E78">
        <v>9</v>
      </c>
      <c r="F78" t="s">
        <v>18</v>
      </c>
      <c r="G78">
        <v>173.9</v>
      </c>
      <c r="H78">
        <v>80.78</v>
      </c>
      <c r="I78" t="s">
        <v>20</v>
      </c>
      <c r="J78">
        <v>85.2</v>
      </c>
      <c r="K78">
        <v>20</v>
      </c>
      <c r="L78" s="30">
        <f t="shared" si="29"/>
        <v>2.8110072501863685</v>
      </c>
      <c r="N78" s="29">
        <f t="shared" si="30"/>
        <v>2.8110072501863685</v>
      </c>
      <c r="O78" s="29">
        <f t="shared" si="31"/>
        <v>6.9859070038843889</v>
      </c>
      <c r="R78" s="24">
        <f t="shared" si="32"/>
        <v>37.488</v>
      </c>
      <c r="S78" s="24">
        <f t="shared" si="33"/>
        <v>0.34888888888888892</v>
      </c>
      <c r="T78" s="24">
        <v>0.14899999999999999</v>
      </c>
      <c r="U78" s="24">
        <v>9.81</v>
      </c>
      <c r="V78" s="24">
        <f t="shared" si="34"/>
        <v>1.3585857126082559</v>
      </c>
      <c r="W78" s="24">
        <f t="shared" si="35"/>
        <v>0.69197508316606748</v>
      </c>
      <c r="X78" s="24">
        <f t="shared" si="36"/>
        <v>0.69197508316606748</v>
      </c>
      <c r="Y78" s="24">
        <f t="shared" si="37"/>
        <v>9.1180249168339333</v>
      </c>
      <c r="AA78" s="24">
        <f t="shared" si="38"/>
        <v>10.501975083166068</v>
      </c>
      <c r="AB78" s="24">
        <f t="shared" si="39"/>
        <v>8.1242793704518323</v>
      </c>
      <c r="AC78" s="24">
        <v>2.5</v>
      </c>
      <c r="AD78" s="24">
        <f t="shared" si="40"/>
        <v>5.2509875415830338</v>
      </c>
      <c r="AE78" s="24">
        <f t="shared" si="41"/>
        <v>-37.488</v>
      </c>
      <c r="AF78" s="24">
        <f t="shared" si="42"/>
        <v>5.6242793704518323</v>
      </c>
      <c r="AG78" s="24">
        <f t="shared" si="43"/>
        <v>166016.94072427924</v>
      </c>
    </row>
    <row r="79" spans="1:33" x14ac:dyDescent="0.25">
      <c r="A79" t="s">
        <v>86</v>
      </c>
      <c r="B79" t="s">
        <v>82</v>
      </c>
      <c r="C79" s="1">
        <v>43673</v>
      </c>
      <c r="D79">
        <v>347</v>
      </c>
      <c r="E79">
        <v>9</v>
      </c>
      <c r="F79" t="s">
        <v>13</v>
      </c>
      <c r="G79">
        <v>205.12</v>
      </c>
      <c r="H79">
        <v>74.349999999999994</v>
      </c>
      <c r="I79" t="s">
        <v>17</v>
      </c>
      <c r="J79">
        <v>97.3</v>
      </c>
      <c r="K79">
        <v>26</v>
      </c>
      <c r="L79" s="30">
        <f t="shared" si="29"/>
        <v>6.8763988628226107</v>
      </c>
      <c r="N79" s="29">
        <f t="shared" si="30"/>
        <v>4.8546028622246205</v>
      </c>
      <c r="O79" s="29">
        <f t="shared" si="31"/>
        <v>6.8763988628226107</v>
      </c>
      <c r="R79" s="24">
        <f t="shared" si="32"/>
        <v>42.811999999999998</v>
      </c>
      <c r="S79" s="24">
        <f t="shared" si="33"/>
        <v>0.45355555555555555</v>
      </c>
      <c r="T79" s="24">
        <v>0.14899999999999999</v>
      </c>
      <c r="U79" s="24">
        <v>9.81</v>
      </c>
      <c r="V79" s="24">
        <f t="shared" si="34"/>
        <v>1.7718768502610558</v>
      </c>
      <c r="W79" s="24">
        <f t="shared" si="35"/>
        <v>-2.081790941349368</v>
      </c>
      <c r="X79" s="24">
        <f t="shared" si="36"/>
        <v>2.081790941349368</v>
      </c>
      <c r="Y79" s="24">
        <f t="shared" si="37"/>
        <v>7.7282090586506325</v>
      </c>
      <c r="AA79" s="24">
        <f t="shared" si="38"/>
        <v>11.891790941349369</v>
      </c>
      <c r="AB79" s="24">
        <f t="shared" si="39"/>
        <v>15.741545357358481</v>
      </c>
      <c r="AC79" s="24">
        <v>2.5</v>
      </c>
      <c r="AD79" s="24">
        <f t="shared" si="40"/>
        <v>5.9458954706746843</v>
      </c>
      <c r="AE79" s="24">
        <f t="shared" si="41"/>
        <v>-42.811999999999998</v>
      </c>
      <c r="AF79" s="24">
        <f t="shared" si="42"/>
        <v>13.241545357358481</v>
      </c>
      <c r="AG79" s="24">
        <f t="shared" si="43"/>
        <v>577227.43881404074</v>
      </c>
    </row>
    <row r="80" spans="1:33" x14ac:dyDescent="0.25">
      <c r="A80" t="s">
        <v>86</v>
      </c>
      <c r="B80" t="s">
        <v>82</v>
      </c>
      <c r="C80" s="1">
        <v>43651</v>
      </c>
      <c r="E80">
        <v>8</v>
      </c>
      <c r="F80" t="s">
        <v>13</v>
      </c>
      <c r="G80">
        <v>137.25</v>
      </c>
      <c r="H80">
        <v>116.66</v>
      </c>
      <c r="I80" t="s">
        <v>17</v>
      </c>
      <c r="J80">
        <v>89.2</v>
      </c>
      <c r="K80">
        <v>39</v>
      </c>
      <c r="L80" s="30">
        <f t="shared" si="29"/>
        <v>6.9330677836737387</v>
      </c>
      <c r="N80" s="29">
        <f t="shared" si="30"/>
        <v>5.1298037045075677</v>
      </c>
      <c r="O80" s="29">
        <f t="shared" si="31"/>
        <v>6.9330677836737387</v>
      </c>
      <c r="R80" s="24">
        <f t="shared" si="32"/>
        <v>39.248000000000005</v>
      </c>
      <c r="S80" s="24">
        <f t="shared" si="33"/>
        <v>0.68033333333333335</v>
      </c>
      <c r="T80" s="24">
        <v>0.14899999999999999</v>
      </c>
      <c r="U80" s="24">
        <v>9.81</v>
      </c>
      <c r="V80" s="24">
        <f t="shared" si="34"/>
        <v>1.4891469704488962</v>
      </c>
      <c r="W80" s="24">
        <f t="shared" si="35"/>
        <v>-0.18427496945567973</v>
      </c>
      <c r="X80" s="24">
        <f t="shared" si="36"/>
        <v>0.18427496945567973</v>
      </c>
      <c r="Y80" s="24">
        <f t="shared" si="37"/>
        <v>9.62572503054432</v>
      </c>
      <c r="AA80" s="24">
        <f t="shared" si="38"/>
        <v>9.9942749694556809</v>
      </c>
      <c r="AB80" s="24">
        <f t="shared" si="39"/>
        <v>34.409493657853211</v>
      </c>
      <c r="AC80" s="24">
        <v>2.5</v>
      </c>
      <c r="AD80" s="24">
        <f t="shared" si="40"/>
        <v>4.9971374847278405</v>
      </c>
      <c r="AE80" s="24">
        <f t="shared" si="41"/>
        <v>-39.248000000000005</v>
      </c>
      <c r="AF80" s="24">
        <f t="shared" si="42"/>
        <v>31.909493657853211</v>
      </c>
      <c r="AG80" s="24">
        <f t="shared" si="43"/>
        <v>982508.38194736815</v>
      </c>
    </row>
    <row r="81" spans="1:33" x14ac:dyDescent="0.25">
      <c r="A81" t="s">
        <v>86</v>
      </c>
      <c r="B81" t="s">
        <v>82</v>
      </c>
      <c r="C81" s="1">
        <v>43630</v>
      </c>
      <c r="D81">
        <v>230</v>
      </c>
      <c r="E81">
        <v>7</v>
      </c>
      <c r="F81" t="s">
        <v>22</v>
      </c>
      <c r="G81">
        <v>60.9</v>
      </c>
      <c r="H81">
        <v>126.81</v>
      </c>
      <c r="I81" t="s">
        <v>20</v>
      </c>
      <c r="J81">
        <v>92.9</v>
      </c>
      <c r="K81">
        <v>14</v>
      </c>
      <c r="L81" s="30">
        <f t="shared" si="29"/>
        <v>2.2516066419187406</v>
      </c>
      <c r="N81" s="29">
        <f t="shared" si="30"/>
        <v>2.2516066419187406</v>
      </c>
      <c r="O81" s="29">
        <f t="shared" si="31"/>
        <v>7.4897108226897249</v>
      </c>
      <c r="R81" s="24">
        <f t="shared" si="32"/>
        <v>40.876000000000005</v>
      </c>
      <c r="S81" s="24">
        <f t="shared" si="33"/>
        <v>0.24422222222222223</v>
      </c>
      <c r="T81" s="24">
        <v>0.14899999999999999</v>
      </c>
      <c r="U81" s="24">
        <v>9.81</v>
      </c>
      <c r="V81" s="24">
        <f t="shared" si="34"/>
        <v>1.6152482587162242</v>
      </c>
      <c r="W81" s="24">
        <f t="shared" si="35"/>
        <v>-1.0305923403773445</v>
      </c>
      <c r="X81" s="24">
        <f t="shared" si="36"/>
        <v>1.0305923403773445</v>
      </c>
      <c r="Y81" s="24">
        <f t="shared" si="37"/>
        <v>8.779407659622656</v>
      </c>
      <c r="AA81" s="24">
        <f t="shared" si="38"/>
        <v>10.840592340377345</v>
      </c>
      <c r="AB81" s="24">
        <f t="shared" si="39"/>
        <v>4.5937420092769292</v>
      </c>
      <c r="AC81" s="24">
        <v>2.5</v>
      </c>
      <c r="AD81" s="24">
        <f t="shared" si="40"/>
        <v>5.4202961701886725</v>
      </c>
      <c r="AE81" s="24">
        <f t="shared" si="41"/>
        <v>-40.876000000000005</v>
      </c>
      <c r="AF81" s="24">
        <f t="shared" si="42"/>
        <v>2.0937420092769292</v>
      </c>
      <c r="AG81" s="24">
        <f t="shared" si="43"/>
        <v>75847.794455695548</v>
      </c>
    </row>
    <row r="82" spans="1:33" x14ac:dyDescent="0.25">
      <c r="A82" t="s">
        <v>86</v>
      </c>
      <c r="B82" t="s">
        <v>82</v>
      </c>
      <c r="C82" s="1">
        <v>43613</v>
      </c>
      <c r="D82">
        <v>358</v>
      </c>
      <c r="E82">
        <v>8</v>
      </c>
      <c r="F82" t="s">
        <v>13</v>
      </c>
      <c r="G82">
        <v>112.86</v>
      </c>
      <c r="H82">
        <v>47.56</v>
      </c>
      <c r="I82" t="s">
        <v>17</v>
      </c>
      <c r="J82">
        <v>97.7</v>
      </c>
      <c r="K82">
        <v>36</v>
      </c>
      <c r="L82" s="30">
        <f t="shared" si="29"/>
        <v>6.4720223982140066</v>
      </c>
      <c r="N82" s="29">
        <f t="shared" si="30"/>
        <v>6.6201465813548399</v>
      </c>
      <c r="O82" s="29">
        <f t="shared" si="31"/>
        <v>6.4720223982140066</v>
      </c>
      <c r="R82" s="24">
        <f t="shared" si="32"/>
        <v>42.988</v>
      </c>
      <c r="S82" s="24">
        <f t="shared" si="33"/>
        <v>0.628</v>
      </c>
      <c r="T82" s="24">
        <v>0.14899999999999999</v>
      </c>
      <c r="U82" s="24">
        <v>9.81</v>
      </c>
      <c r="V82" s="24">
        <f t="shared" si="34"/>
        <v>1.7864751560402559</v>
      </c>
      <c r="W82" s="24">
        <f t="shared" si="35"/>
        <v>-2.179766147921181</v>
      </c>
      <c r="X82" s="24">
        <f t="shared" si="36"/>
        <v>2.179766147921181</v>
      </c>
      <c r="Y82" s="24">
        <f t="shared" si="37"/>
        <v>7.6302338520788195</v>
      </c>
      <c r="AA82" s="24">
        <f t="shared" si="38"/>
        <v>11.989766147921181</v>
      </c>
      <c r="AB82" s="24">
        <f t="shared" si="39"/>
        <v>29.611188375792221</v>
      </c>
      <c r="AC82" s="24">
        <v>2.5</v>
      </c>
      <c r="AD82" s="24">
        <f t="shared" si="40"/>
        <v>5.9948830739605903</v>
      </c>
      <c r="AE82" s="24">
        <f t="shared" si="41"/>
        <v>-42.988</v>
      </c>
      <c r="AF82" s="24">
        <f t="shared" si="42"/>
        <v>27.111188375792221</v>
      </c>
      <c r="AG82" s="24">
        <f t="shared" si="43"/>
        <v>1201389.2546326921</v>
      </c>
    </row>
    <row r="83" spans="1:33" x14ac:dyDescent="0.25">
      <c r="A83" t="s">
        <v>86</v>
      </c>
      <c r="B83" t="s">
        <v>82</v>
      </c>
      <c r="C83" s="1">
        <v>43611</v>
      </c>
      <c r="D83">
        <v>333</v>
      </c>
      <c r="E83">
        <v>8</v>
      </c>
      <c r="F83" t="s">
        <v>13</v>
      </c>
      <c r="G83">
        <v>135.53</v>
      </c>
      <c r="H83">
        <v>58.93</v>
      </c>
      <c r="I83" t="s">
        <v>17</v>
      </c>
      <c r="J83">
        <v>86.1</v>
      </c>
      <c r="K83">
        <v>29</v>
      </c>
      <c r="L83" s="30">
        <f t="shared" si="29"/>
        <v>6.9266042594223158</v>
      </c>
      <c r="N83" s="29">
        <f t="shared" si="30"/>
        <v>3.9430116964426061</v>
      </c>
      <c r="O83" s="29">
        <f t="shared" si="31"/>
        <v>6.9266042594223158</v>
      </c>
      <c r="R83" s="24">
        <f t="shared" si="32"/>
        <v>37.884</v>
      </c>
      <c r="S83" s="24">
        <f t="shared" si="33"/>
        <v>0.50588888888888894</v>
      </c>
      <c r="T83" s="24">
        <v>0.14899999999999999</v>
      </c>
      <c r="U83" s="24">
        <v>9.81</v>
      </c>
      <c r="V83" s="24">
        <f t="shared" si="34"/>
        <v>1.387439825454144</v>
      </c>
      <c r="W83" s="24">
        <f t="shared" si="35"/>
        <v>0.49832331909970418</v>
      </c>
      <c r="X83" s="24">
        <f t="shared" si="36"/>
        <v>0.49832331909970418</v>
      </c>
      <c r="Y83" s="24">
        <f t="shared" si="37"/>
        <v>9.3116766809002964</v>
      </c>
      <c r="AA83" s="24">
        <f t="shared" si="38"/>
        <v>10.308323319099705</v>
      </c>
      <c r="AB83" s="24">
        <f t="shared" si="39"/>
        <v>17.621898482375656</v>
      </c>
      <c r="AC83" s="24">
        <v>2.5</v>
      </c>
      <c r="AD83" s="24">
        <f t="shared" si="40"/>
        <v>5.1541616595498523</v>
      </c>
      <c r="AE83" s="24">
        <f t="shared" si="41"/>
        <v>-37.884</v>
      </c>
      <c r="AF83" s="24">
        <f t="shared" si="42"/>
        <v>15.121898482375656</v>
      </c>
      <c r="AG83" s="24">
        <f t="shared" si="43"/>
        <v>447441.23126949649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731"/>
  <sheetViews>
    <sheetView workbookViewId="0">
      <selection activeCell="A41" sqref="A41:XFD41"/>
    </sheetView>
  </sheetViews>
  <sheetFormatPr defaultColWidth="11" defaultRowHeight="15.75" x14ac:dyDescent="0.25"/>
  <cols>
    <col min="1" max="1" width="17.375" customWidth="1"/>
    <col min="2" max="2" width="11.375" customWidth="1"/>
    <col min="3" max="3" width="13.375" customWidth="1"/>
    <col min="7" max="7" width="18.625" customWidth="1"/>
    <col min="11" max="11" width="12.375" customWidth="1"/>
  </cols>
  <sheetData>
    <row r="1" spans="1:14" x14ac:dyDescent="0.25">
      <c r="A1" t="s">
        <v>2</v>
      </c>
      <c r="B1" t="s">
        <v>1</v>
      </c>
      <c r="C1" t="s">
        <v>6</v>
      </c>
      <c r="D1" t="s">
        <v>7</v>
      </c>
      <c r="E1" t="s">
        <v>8</v>
      </c>
      <c r="F1" t="s">
        <v>3</v>
      </c>
      <c r="G1" t="s">
        <v>4</v>
      </c>
      <c r="H1" t="s">
        <v>5</v>
      </c>
      <c r="I1" t="s">
        <v>9</v>
      </c>
      <c r="J1" t="s">
        <v>10</v>
      </c>
      <c r="K1" t="s">
        <v>11</v>
      </c>
      <c r="M1" t="s">
        <v>27</v>
      </c>
      <c r="N1" t="s">
        <v>28</v>
      </c>
    </row>
    <row r="2" spans="1:14" x14ac:dyDescent="0.25">
      <c r="A2" t="s">
        <v>12</v>
      </c>
      <c r="B2" t="s">
        <v>0</v>
      </c>
      <c r="C2" t="s">
        <v>17</v>
      </c>
      <c r="D2">
        <v>112.33</v>
      </c>
      <c r="E2">
        <v>101.23</v>
      </c>
      <c r="F2" t="s">
        <v>13</v>
      </c>
      <c r="G2" t="s">
        <v>14</v>
      </c>
      <c r="H2">
        <v>8</v>
      </c>
      <c r="I2">
        <v>237</v>
      </c>
      <c r="J2">
        <v>79</v>
      </c>
      <c r="K2">
        <v>48</v>
      </c>
      <c r="M2">
        <v>6.6</v>
      </c>
      <c r="N2">
        <v>5</v>
      </c>
    </row>
    <row r="3" spans="1:14" x14ac:dyDescent="0.25">
      <c r="A3" t="s">
        <v>12</v>
      </c>
      <c r="B3" t="s">
        <v>0</v>
      </c>
      <c r="C3" t="s">
        <v>17</v>
      </c>
      <c r="D3">
        <v>176.24</v>
      </c>
      <c r="E3">
        <v>67.150000000000006</v>
      </c>
      <c r="F3" t="s">
        <v>13</v>
      </c>
      <c r="G3" t="s">
        <v>14</v>
      </c>
      <c r="H3">
        <v>8</v>
      </c>
      <c r="I3">
        <v>333</v>
      </c>
      <c r="J3">
        <v>88.9</v>
      </c>
      <c r="K3">
        <v>30</v>
      </c>
      <c r="M3">
        <v>4</v>
      </c>
      <c r="N3">
        <v>7.4</v>
      </c>
    </row>
    <row r="4" spans="1:14" x14ac:dyDescent="0.25">
      <c r="A4" t="s">
        <v>12</v>
      </c>
      <c r="B4" t="s">
        <v>0</v>
      </c>
      <c r="C4" t="s">
        <v>17</v>
      </c>
      <c r="D4">
        <v>206.33</v>
      </c>
      <c r="E4">
        <v>96.85</v>
      </c>
      <c r="F4" t="s">
        <v>13</v>
      </c>
      <c r="G4" t="s">
        <v>14</v>
      </c>
      <c r="H4">
        <v>9</v>
      </c>
      <c r="I4">
        <v>323</v>
      </c>
      <c r="J4">
        <v>91.6</v>
      </c>
      <c r="K4">
        <v>32</v>
      </c>
      <c r="M4">
        <v>4.7</v>
      </c>
      <c r="N4">
        <v>7.1</v>
      </c>
    </row>
    <row r="5" spans="1:14" x14ac:dyDescent="0.25">
      <c r="A5" t="s">
        <v>12</v>
      </c>
      <c r="B5" t="s">
        <v>0</v>
      </c>
      <c r="C5" t="s">
        <v>17</v>
      </c>
      <c r="D5">
        <v>92.67</v>
      </c>
      <c r="E5">
        <v>47.66</v>
      </c>
      <c r="F5" t="s">
        <v>13</v>
      </c>
      <c r="G5" t="s">
        <v>14</v>
      </c>
      <c r="H5">
        <v>7</v>
      </c>
      <c r="I5">
        <v>357</v>
      </c>
      <c r="J5">
        <v>101</v>
      </c>
      <c r="K5">
        <v>42</v>
      </c>
      <c r="M5">
        <v>8.6999999999999993</v>
      </c>
      <c r="N5">
        <v>6.1</v>
      </c>
    </row>
    <row r="6" spans="1:14" x14ac:dyDescent="0.25">
      <c r="A6" t="s">
        <v>12</v>
      </c>
      <c r="B6" t="s">
        <v>0</v>
      </c>
      <c r="C6" t="s">
        <v>17</v>
      </c>
      <c r="D6">
        <v>123.01</v>
      </c>
      <c r="E6">
        <v>71.53</v>
      </c>
      <c r="F6" t="s">
        <v>13</v>
      </c>
      <c r="G6" t="s">
        <v>14</v>
      </c>
      <c r="H6">
        <v>8</v>
      </c>
      <c r="I6">
        <v>301</v>
      </c>
      <c r="J6">
        <v>88.9</v>
      </c>
      <c r="K6">
        <v>41</v>
      </c>
      <c r="M6">
        <v>5.3</v>
      </c>
      <c r="N6">
        <v>7</v>
      </c>
    </row>
    <row r="7" spans="1:14" x14ac:dyDescent="0.25">
      <c r="A7" t="s">
        <v>12</v>
      </c>
      <c r="B7" t="s">
        <v>0</v>
      </c>
      <c r="C7" t="s">
        <v>17</v>
      </c>
      <c r="D7">
        <v>137.86000000000001</v>
      </c>
      <c r="E7">
        <v>37.049999999999997</v>
      </c>
      <c r="F7" t="s">
        <v>22</v>
      </c>
      <c r="G7" t="s">
        <v>23</v>
      </c>
      <c r="H7" t="s">
        <v>15</v>
      </c>
      <c r="I7">
        <v>382</v>
      </c>
      <c r="J7">
        <v>104.6</v>
      </c>
      <c r="K7">
        <v>24</v>
      </c>
      <c r="M7">
        <v>6.4</v>
      </c>
      <c r="N7">
        <v>6.5</v>
      </c>
    </row>
    <row r="8" spans="1:14" x14ac:dyDescent="0.25">
      <c r="A8" t="s">
        <v>12</v>
      </c>
      <c r="B8" t="s">
        <v>0</v>
      </c>
      <c r="C8" t="s">
        <v>17</v>
      </c>
      <c r="D8">
        <v>183.69</v>
      </c>
      <c r="E8">
        <v>132.61000000000001</v>
      </c>
      <c r="F8" t="s">
        <v>18</v>
      </c>
      <c r="G8" t="s">
        <v>19</v>
      </c>
      <c r="H8">
        <v>9</v>
      </c>
      <c r="I8">
        <v>209</v>
      </c>
      <c r="J8">
        <v>70.400000000000006</v>
      </c>
      <c r="K8">
        <v>44</v>
      </c>
      <c r="M8">
        <v>6.9</v>
      </c>
      <c r="N8">
        <v>4.0999999999999996</v>
      </c>
    </row>
    <row r="9" spans="1:14" x14ac:dyDescent="0.25">
      <c r="A9" t="s">
        <v>12</v>
      </c>
      <c r="B9" t="s">
        <v>0</v>
      </c>
      <c r="C9" t="s">
        <v>17</v>
      </c>
      <c r="D9">
        <v>61.86</v>
      </c>
      <c r="E9">
        <v>132.25</v>
      </c>
      <c r="F9" t="s">
        <v>13</v>
      </c>
      <c r="G9" t="s">
        <v>14</v>
      </c>
      <c r="H9">
        <v>7</v>
      </c>
      <c r="I9">
        <v>218</v>
      </c>
      <c r="J9">
        <v>96.8</v>
      </c>
      <c r="K9">
        <v>59</v>
      </c>
      <c r="M9">
        <v>9.3000000000000007</v>
      </c>
      <c r="N9">
        <v>5.6</v>
      </c>
    </row>
    <row r="10" spans="1:14" x14ac:dyDescent="0.25">
      <c r="A10" t="s">
        <v>12</v>
      </c>
      <c r="B10" t="s">
        <v>0</v>
      </c>
      <c r="C10" t="s">
        <v>17</v>
      </c>
      <c r="D10">
        <v>213.2</v>
      </c>
      <c r="E10">
        <v>81.790000000000006</v>
      </c>
      <c r="F10" t="s">
        <v>13</v>
      </c>
      <c r="G10" t="s">
        <v>14</v>
      </c>
      <c r="H10">
        <v>9</v>
      </c>
      <c r="I10">
        <v>342</v>
      </c>
      <c r="J10">
        <v>99.8</v>
      </c>
      <c r="K10">
        <v>38</v>
      </c>
      <c r="M10">
        <v>7.6</v>
      </c>
      <c r="N10">
        <v>6.3</v>
      </c>
    </row>
    <row r="11" spans="1:14" x14ac:dyDescent="0.25">
      <c r="A11" t="s">
        <v>12</v>
      </c>
      <c r="B11" t="s">
        <v>0</v>
      </c>
      <c r="C11" t="s">
        <v>17</v>
      </c>
      <c r="D11">
        <v>192.44</v>
      </c>
      <c r="E11">
        <v>65.33</v>
      </c>
      <c r="F11" t="s">
        <v>13</v>
      </c>
      <c r="G11" t="s">
        <v>14</v>
      </c>
      <c r="H11">
        <v>9</v>
      </c>
      <c r="I11">
        <v>351</v>
      </c>
      <c r="J11">
        <v>96.3</v>
      </c>
      <c r="K11">
        <v>35</v>
      </c>
      <c r="M11">
        <v>6.1</v>
      </c>
      <c r="N11">
        <v>6.7</v>
      </c>
    </row>
    <row r="12" spans="1:14" x14ac:dyDescent="0.25">
      <c r="A12" t="s">
        <v>12</v>
      </c>
      <c r="B12" t="s">
        <v>0</v>
      </c>
      <c r="C12" t="s">
        <v>16</v>
      </c>
      <c r="D12">
        <v>122.01</v>
      </c>
      <c r="E12">
        <v>187.78</v>
      </c>
      <c r="F12" t="s">
        <v>13</v>
      </c>
      <c r="G12" t="s">
        <v>14</v>
      </c>
      <c r="H12">
        <v>1</v>
      </c>
      <c r="I12">
        <v>1</v>
      </c>
      <c r="J12">
        <v>73.5</v>
      </c>
      <c r="K12">
        <v>-69</v>
      </c>
      <c r="M12" t="s">
        <v>15</v>
      </c>
      <c r="N12" t="s">
        <v>15</v>
      </c>
    </row>
    <row r="13" spans="1:14" x14ac:dyDescent="0.25">
      <c r="A13" t="s">
        <v>12</v>
      </c>
      <c r="B13" t="s">
        <v>0</v>
      </c>
      <c r="C13" t="s">
        <v>16</v>
      </c>
      <c r="D13">
        <v>130.63999999999999</v>
      </c>
      <c r="E13">
        <v>181.68</v>
      </c>
      <c r="F13" t="s">
        <v>13</v>
      </c>
      <c r="G13" t="s">
        <v>14</v>
      </c>
      <c r="H13">
        <v>1</v>
      </c>
      <c r="I13">
        <v>1</v>
      </c>
      <c r="J13">
        <v>56.5</v>
      </c>
      <c r="K13">
        <v>-62</v>
      </c>
      <c r="M13" t="s">
        <v>15</v>
      </c>
      <c r="N13" t="s">
        <v>15</v>
      </c>
    </row>
    <row r="14" spans="1:14" x14ac:dyDescent="0.25">
      <c r="A14" t="s">
        <v>12</v>
      </c>
      <c r="B14" t="s">
        <v>0</v>
      </c>
      <c r="C14" t="s">
        <v>16</v>
      </c>
      <c r="D14">
        <v>115.91</v>
      </c>
      <c r="E14">
        <v>155.27000000000001</v>
      </c>
      <c r="F14" t="s">
        <v>13</v>
      </c>
      <c r="G14" t="s">
        <v>14</v>
      </c>
      <c r="H14">
        <v>6</v>
      </c>
      <c r="I14">
        <v>17</v>
      </c>
      <c r="J14">
        <v>69.8</v>
      </c>
      <c r="K14">
        <v>-9</v>
      </c>
      <c r="M14" t="s">
        <v>15</v>
      </c>
      <c r="N14" t="s">
        <v>15</v>
      </c>
    </row>
    <row r="15" spans="1:14" x14ac:dyDescent="0.25">
      <c r="A15" t="s">
        <v>12</v>
      </c>
      <c r="B15" t="s">
        <v>0</v>
      </c>
      <c r="C15" t="s">
        <v>16</v>
      </c>
      <c r="D15">
        <v>106.77</v>
      </c>
      <c r="E15">
        <v>167.46</v>
      </c>
      <c r="F15" t="s">
        <v>13</v>
      </c>
      <c r="G15" t="s">
        <v>14</v>
      </c>
      <c r="H15">
        <v>5</v>
      </c>
      <c r="I15">
        <v>55</v>
      </c>
      <c r="J15">
        <v>92.1</v>
      </c>
      <c r="K15">
        <v>3</v>
      </c>
      <c r="M15" t="s">
        <v>15</v>
      </c>
      <c r="N15" t="s">
        <v>15</v>
      </c>
    </row>
    <row r="16" spans="1:14" x14ac:dyDescent="0.25">
      <c r="A16" t="s">
        <v>12</v>
      </c>
      <c r="B16" t="s">
        <v>0</v>
      </c>
      <c r="C16" t="s">
        <v>16</v>
      </c>
      <c r="D16">
        <v>120.48</v>
      </c>
      <c r="E16">
        <v>108.54</v>
      </c>
      <c r="F16" t="s">
        <v>18</v>
      </c>
      <c r="G16" t="s">
        <v>19</v>
      </c>
      <c r="H16">
        <v>8</v>
      </c>
      <c r="I16">
        <v>66</v>
      </c>
      <c r="J16">
        <v>101.3</v>
      </c>
      <c r="K16">
        <v>3</v>
      </c>
      <c r="M16" t="s">
        <v>15</v>
      </c>
      <c r="N16" t="s">
        <v>15</v>
      </c>
    </row>
    <row r="17" spans="1:14" x14ac:dyDescent="0.25">
      <c r="A17" t="s">
        <v>12</v>
      </c>
      <c r="B17" t="s">
        <v>0</v>
      </c>
      <c r="C17" t="s">
        <v>16</v>
      </c>
      <c r="D17">
        <v>113.88</v>
      </c>
      <c r="E17">
        <v>159.33000000000001</v>
      </c>
      <c r="F17" t="s">
        <v>21</v>
      </c>
      <c r="G17" t="s">
        <v>14</v>
      </c>
      <c r="H17">
        <v>6</v>
      </c>
      <c r="I17">
        <v>4</v>
      </c>
      <c r="J17">
        <v>73.599999999999994</v>
      </c>
      <c r="K17">
        <v>-28</v>
      </c>
      <c r="M17" t="s">
        <v>15</v>
      </c>
      <c r="N17" t="s">
        <v>15</v>
      </c>
    </row>
    <row r="18" spans="1:14" x14ac:dyDescent="0.25">
      <c r="A18" t="s">
        <v>12</v>
      </c>
      <c r="B18" t="s">
        <v>0</v>
      </c>
      <c r="C18" t="s">
        <v>16</v>
      </c>
      <c r="D18">
        <v>148.93</v>
      </c>
      <c r="E18">
        <v>154.25</v>
      </c>
      <c r="F18" t="s">
        <v>13</v>
      </c>
      <c r="G18" t="s">
        <v>14</v>
      </c>
      <c r="H18">
        <v>4</v>
      </c>
      <c r="I18">
        <v>17</v>
      </c>
      <c r="J18">
        <v>63.8</v>
      </c>
      <c r="K18">
        <v>-8</v>
      </c>
      <c r="M18" t="s">
        <v>15</v>
      </c>
      <c r="N18" t="s">
        <v>15</v>
      </c>
    </row>
    <row r="19" spans="1:14" x14ac:dyDescent="0.25">
      <c r="A19" t="s">
        <v>12</v>
      </c>
      <c r="B19" t="s">
        <v>0</v>
      </c>
      <c r="C19" t="s">
        <v>16</v>
      </c>
      <c r="D19">
        <v>109.82</v>
      </c>
      <c r="E19">
        <v>158.32</v>
      </c>
      <c r="F19" t="s">
        <v>25</v>
      </c>
      <c r="G19" t="s">
        <v>14</v>
      </c>
      <c r="H19">
        <v>6</v>
      </c>
      <c r="I19">
        <v>104</v>
      </c>
      <c r="J19">
        <v>57.7</v>
      </c>
      <c r="K19">
        <v>18</v>
      </c>
      <c r="M19" t="s">
        <v>15</v>
      </c>
      <c r="N19" t="s">
        <v>15</v>
      </c>
    </row>
    <row r="20" spans="1:14" x14ac:dyDescent="0.25">
      <c r="A20" t="s">
        <v>12</v>
      </c>
      <c r="B20" t="s">
        <v>0</v>
      </c>
      <c r="C20" t="s">
        <v>16</v>
      </c>
      <c r="D20">
        <v>113.33</v>
      </c>
      <c r="E20">
        <v>160.47</v>
      </c>
      <c r="F20" t="s">
        <v>18</v>
      </c>
      <c r="G20" t="s">
        <v>19</v>
      </c>
      <c r="H20">
        <v>6</v>
      </c>
      <c r="I20" t="s">
        <v>15</v>
      </c>
      <c r="J20">
        <v>90.3</v>
      </c>
      <c r="K20">
        <v>-17</v>
      </c>
      <c r="M20" t="s">
        <v>15</v>
      </c>
      <c r="N20" t="s">
        <v>15</v>
      </c>
    </row>
    <row r="21" spans="1:14" x14ac:dyDescent="0.25">
      <c r="A21" t="s">
        <v>12</v>
      </c>
      <c r="B21" t="s">
        <v>0</v>
      </c>
      <c r="C21" t="s">
        <v>16</v>
      </c>
      <c r="D21">
        <v>112.53</v>
      </c>
      <c r="E21">
        <v>151.72999999999999</v>
      </c>
      <c r="F21" t="s">
        <v>13</v>
      </c>
      <c r="G21" t="s">
        <v>14</v>
      </c>
      <c r="H21">
        <v>6</v>
      </c>
      <c r="I21">
        <v>17</v>
      </c>
      <c r="J21">
        <v>96.8</v>
      </c>
      <c r="K21">
        <v>-9</v>
      </c>
      <c r="M21" t="s">
        <v>15</v>
      </c>
      <c r="N21" t="s">
        <v>15</v>
      </c>
    </row>
    <row r="22" spans="1:14" x14ac:dyDescent="0.25">
      <c r="A22" t="s">
        <v>12</v>
      </c>
      <c r="B22" t="s">
        <v>0</v>
      </c>
      <c r="C22" t="s">
        <v>16</v>
      </c>
      <c r="D22">
        <v>111.81</v>
      </c>
      <c r="E22">
        <v>156.21</v>
      </c>
      <c r="F22" t="s">
        <v>13</v>
      </c>
      <c r="G22" t="s">
        <v>14</v>
      </c>
      <c r="H22">
        <v>6</v>
      </c>
      <c r="I22">
        <v>12</v>
      </c>
      <c r="J22">
        <v>94.1</v>
      </c>
      <c r="K22">
        <v>-12</v>
      </c>
      <c r="M22" t="s">
        <v>15</v>
      </c>
      <c r="N22" t="s">
        <v>15</v>
      </c>
    </row>
    <row r="23" spans="1:14" x14ac:dyDescent="0.25">
      <c r="A23" t="s">
        <v>12</v>
      </c>
      <c r="B23" t="s">
        <v>0</v>
      </c>
      <c r="C23" t="s">
        <v>16</v>
      </c>
      <c r="D23">
        <v>89.96</v>
      </c>
      <c r="E23">
        <v>97.8</v>
      </c>
      <c r="F23" t="s">
        <v>18</v>
      </c>
      <c r="G23" t="s">
        <v>19</v>
      </c>
      <c r="H23">
        <v>7</v>
      </c>
      <c r="I23">
        <v>128</v>
      </c>
      <c r="J23">
        <v>104.3</v>
      </c>
      <c r="K23">
        <v>7</v>
      </c>
      <c r="M23" t="s">
        <v>15</v>
      </c>
      <c r="N23" t="s">
        <v>15</v>
      </c>
    </row>
    <row r="24" spans="1:14" x14ac:dyDescent="0.25">
      <c r="A24" t="s">
        <v>12</v>
      </c>
      <c r="B24" t="s">
        <v>0</v>
      </c>
      <c r="C24" t="s">
        <v>16</v>
      </c>
      <c r="D24">
        <v>109.77</v>
      </c>
      <c r="E24">
        <v>156.21</v>
      </c>
      <c r="F24" t="s">
        <v>13</v>
      </c>
      <c r="G24" t="s">
        <v>14</v>
      </c>
      <c r="H24">
        <v>6</v>
      </c>
      <c r="I24">
        <v>4</v>
      </c>
      <c r="J24">
        <v>76.599999999999994</v>
      </c>
      <c r="K24">
        <v>-33</v>
      </c>
      <c r="M24" t="s">
        <v>15</v>
      </c>
      <c r="N24" t="s">
        <v>15</v>
      </c>
    </row>
    <row r="25" spans="1:14" x14ac:dyDescent="0.25">
      <c r="A25" t="s">
        <v>12</v>
      </c>
      <c r="B25" t="s">
        <v>0</v>
      </c>
      <c r="C25" t="s">
        <v>16</v>
      </c>
      <c r="D25">
        <v>107.23</v>
      </c>
      <c r="E25">
        <v>166.88</v>
      </c>
      <c r="F25" t="s">
        <v>21</v>
      </c>
      <c r="G25" t="s">
        <v>14</v>
      </c>
      <c r="H25">
        <v>5</v>
      </c>
      <c r="I25">
        <v>4</v>
      </c>
      <c r="J25">
        <v>76.8</v>
      </c>
      <c r="K25">
        <v>-24</v>
      </c>
      <c r="M25" t="s">
        <v>15</v>
      </c>
      <c r="N25" t="s">
        <v>15</v>
      </c>
    </row>
    <row r="26" spans="1:14" x14ac:dyDescent="0.25">
      <c r="A26" t="s">
        <v>12</v>
      </c>
      <c r="B26" t="s">
        <v>0</v>
      </c>
      <c r="C26" t="s">
        <v>16</v>
      </c>
      <c r="D26">
        <v>76.790000000000006</v>
      </c>
      <c r="E26">
        <v>114.96</v>
      </c>
      <c r="F26" t="s">
        <v>18</v>
      </c>
      <c r="G26" t="s">
        <v>19</v>
      </c>
      <c r="H26">
        <v>7</v>
      </c>
      <c r="I26">
        <v>98</v>
      </c>
      <c r="J26">
        <v>90.1</v>
      </c>
      <c r="K26">
        <v>7</v>
      </c>
      <c r="M26" t="s">
        <v>15</v>
      </c>
      <c r="N26" t="s">
        <v>15</v>
      </c>
    </row>
    <row r="27" spans="1:14" x14ac:dyDescent="0.25">
      <c r="A27" t="s">
        <v>12</v>
      </c>
      <c r="B27" t="s">
        <v>0</v>
      </c>
      <c r="C27" t="s">
        <v>16</v>
      </c>
      <c r="D27">
        <v>125.85</v>
      </c>
      <c r="E27">
        <v>157.97</v>
      </c>
      <c r="F27" t="s">
        <v>13</v>
      </c>
      <c r="G27" t="s">
        <v>14</v>
      </c>
      <c r="H27">
        <v>4</v>
      </c>
      <c r="I27">
        <v>53</v>
      </c>
      <c r="J27">
        <v>72.8</v>
      </c>
      <c r="K27">
        <v>3</v>
      </c>
      <c r="M27" t="s">
        <v>15</v>
      </c>
      <c r="N27" t="s">
        <v>15</v>
      </c>
    </row>
    <row r="28" spans="1:14" x14ac:dyDescent="0.25">
      <c r="A28" t="s">
        <v>12</v>
      </c>
      <c r="B28" t="s">
        <v>0</v>
      </c>
      <c r="C28" t="s">
        <v>16</v>
      </c>
      <c r="D28">
        <v>111.85</v>
      </c>
      <c r="E28">
        <v>157.81</v>
      </c>
      <c r="F28" t="s">
        <v>18</v>
      </c>
      <c r="G28" t="s">
        <v>19</v>
      </c>
      <c r="H28">
        <v>6</v>
      </c>
      <c r="I28">
        <v>6</v>
      </c>
      <c r="J28">
        <v>79.7</v>
      </c>
      <c r="K28">
        <v>-19</v>
      </c>
      <c r="M28" t="s">
        <v>15</v>
      </c>
      <c r="N28" t="s">
        <v>15</v>
      </c>
    </row>
    <row r="29" spans="1:14" x14ac:dyDescent="0.25">
      <c r="A29" t="s">
        <v>12</v>
      </c>
      <c r="B29" t="s">
        <v>0</v>
      </c>
      <c r="C29" t="s">
        <v>16</v>
      </c>
      <c r="D29">
        <v>139.28</v>
      </c>
      <c r="E29">
        <v>145.62</v>
      </c>
      <c r="F29" t="s">
        <v>26</v>
      </c>
      <c r="G29" t="s">
        <v>14</v>
      </c>
      <c r="H29">
        <v>4</v>
      </c>
      <c r="I29">
        <v>61</v>
      </c>
      <c r="J29">
        <v>101</v>
      </c>
      <c r="K29">
        <v>3</v>
      </c>
      <c r="M29" t="s">
        <v>15</v>
      </c>
      <c r="N29" t="s">
        <v>15</v>
      </c>
    </row>
    <row r="30" spans="1:14" x14ac:dyDescent="0.25">
      <c r="A30" t="s">
        <v>12</v>
      </c>
      <c r="B30" t="s">
        <v>0</v>
      </c>
      <c r="C30" t="s">
        <v>16</v>
      </c>
      <c r="D30">
        <v>114.39</v>
      </c>
      <c r="E30">
        <v>174.06</v>
      </c>
      <c r="F30" t="s">
        <v>26</v>
      </c>
      <c r="G30" t="s">
        <v>14</v>
      </c>
      <c r="H30">
        <v>5</v>
      </c>
      <c r="I30">
        <v>4</v>
      </c>
      <c r="J30">
        <v>54.3</v>
      </c>
      <c r="K30">
        <v>-23</v>
      </c>
      <c r="M30" t="s">
        <v>15</v>
      </c>
      <c r="N30" t="s">
        <v>15</v>
      </c>
    </row>
    <row r="31" spans="1:14" x14ac:dyDescent="0.25">
      <c r="A31" t="s">
        <v>12</v>
      </c>
      <c r="B31" t="s">
        <v>0</v>
      </c>
      <c r="C31" t="s">
        <v>16</v>
      </c>
      <c r="D31">
        <v>107.53</v>
      </c>
      <c r="E31">
        <v>150.19</v>
      </c>
      <c r="F31" t="s">
        <v>13</v>
      </c>
      <c r="G31" t="s">
        <v>14</v>
      </c>
      <c r="H31">
        <v>6</v>
      </c>
      <c r="I31">
        <v>96</v>
      </c>
      <c r="J31">
        <v>101.4</v>
      </c>
      <c r="K31">
        <v>5</v>
      </c>
      <c r="M31" t="s">
        <v>15</v>
      </c>
      <c r="N31" t="s">
        <v>15</v>
      </c>
    </row>
    <row r="32" spans="1:14" x14ac:dyDescent="0.25">
      <c r="A32" t="s">
        <v>12</v>
      </c>
      <c r="B32" t="s">
        <v>0</v>
      </c>
      <c r="C32" t="s">
        <v>16</v>
      </c>
      <c r="D32">
        <v>91.53</v>
      </c>
      <c r="E32">
        <v>138</v>
      </c>
      <c r="F32" t="s">
        <v>18</v>
      </c>
      <c r="G32" t="s">
        <v>19</v>
      </c>
      <c r="H32">
        <v>7</v>
      </c>
      <c r="I32">
        <v>4</v>
      </c>
      <c r="J32">
        <v>90.1</v>
      </c>
      <c r="K32">
        <v>-21</v>
      </c>
      <c r="M32" t="s">
        <v>15</v>
      </c>
      <c r="N32" t="s">
        <v>15</v>
      </c>
    </row>
    <row r="33" spans="1:14" x14ac:dyDescent="0.25">
      <c r="A33" t="s">
        <v>12</v>
      </c>
      <c r="B33" t="s">
        <v>0</v>
      </c>
      <c r="C33" t="s">
        <v>16</v>
      </c>
      <c r="D33">
        <v>134.19999999999999</v>
      </c>
      <c r="E33">
        <v>107.52</v>
      </c>
      <c r="F33" t="s">
        <v>18</v>
      </c>
      <c r="G33" t="s">
        <v>19</v>
      </c>
      <c r="H33">
        <v>8</v>
      </c>
      <c r="I33">
        <v>25</v>
      </c>
      <c r="J33">
        <v>100.9</v>
      </c>
      <c r="K33">
        <v>-4</v>
      </c>
      <c r="M33" t="s">
        <v>15</v>
      </c>
      <c r="N33" t="s">
        <v>15</v>
      </c>
    </row>
    <row r="34" spans="1:14" x14ac:dyDescent="0.25">
      <c r="A34" t="s">
        <v>12</v>
      </c>
      <c r="B34" t="s">
        <v>0</v>
      </c>
      <c r="C34" t="s">
        <v>16</v>
      </c>
      <c r="D34">
        <v>142.33000000000001</v>
      </c>
      <c r="E34">
        <v>143.59</v>
      </c>
      <c r="F34" t="s">
        <v>13</v>
      </c>
      <c r="G34" t="s">
        <v>14</v>
      </c>
      <c r="H34">
        <v>4</v>
      </c>
      <c r="I34">
        <v>4</v>
      </c>
      <c r="J34">
        <v>104.6</v>
      </c>
      <c r="K34">
        <v>-23</v>
      </c>
      <c r="M34" t="s">
        <v>15</v>
      </c>
      <c r="N34" t="s">
        <v>15</v>
      </c>
    </row>
    <row r="35" spans="1:14" x14ac:dyDescent="0.25">
      <c r="A35" t="s">
        <v>12</v>
      </c>
      <c r="B35" t="s">
        <v>0</v>
      </c>
      <c r="C35" t="s">
        <v>20</v>
      </c>
      <c r="D35">
        <v>111.26</v>
      </c>
      <c r="E35">
        <v>109.73</v>
      </c>
      <c r="F35" t="s">
        <v>18</v>
      </c>
      <c r="G35" t="s">
        <v>19</v>
      </c>
      <c r="H35">
        <v>8</v>
      </c>
      <c r="I35">
        <v>219</v>
      </c>
      <c r="J35">
        <v>104.2</v>
      </c>
      <c r="K35">
        <v>12</v>
      </c>
      <c r="M35">
        <v>3.2</v>
      </c>
      <c r="N35">
        <v>6.7</v>
      </c>
    </row>
    <row r="36" spans="1:14" x14ac:dyDescent="0.25">
      <c r="A36" t="s">
        <v>12</v>
      </c>
      <c r="B36" t="s">
        <v>0</v>
      </c>
      <c r="C36" t="s">
        <v>20</v>
      </c>
      <c r="D36">
        <v>124.04</v>
      </c>
      <c r="E36">
        <v>79.2</v>
      </c>
      <c r="F36" t="s">
        <v>13</v>
      </c>
      <c r="G36" t="s">
        <v>14</v>
      </c>
      <c r="H36">
        <v>8</v>
      </c>
      <c r="I36">
        <v>285</v>
      </c>
      <c r="J36">
        <v>96.4</v>
      </c>
      <c r="K36">
        <v>17</v>
      </c>
      <c r="M36">
        <v>3.1</v>
      </c>
      <c r="N36">
        <v>7.2</v>
      </c>
    </row>
    <row r="37" spans="1:14" x14ac:dyDescent="0.25">
      <c r="A37" t="s">
        <v>12</v>
      </c>
      <c r="B37" t="s">
        <v>0</v>
      </c>
      <c r="C37" t="s">
        <v>20</v>
      </c>
      <c r="D37">
        <v>175.34</v>
      </c>
      <c r="E37">
        <v>128.85</v>
      </c>
      <c r="F37" t="s">
        <v>18</v>
      </c>
      <c r="G37" t="s">
        <v>19</v>
      </c>
      <c r="H37">
        <v>9</v>
      </c>
      <c r="I37">
        <v>223</v>
      </c>
      <c r="J37">
        <v>72.400000000000006</v>
      </c>
      <c r="K37">
        <v>24</v>
      </c>
      <c r="M37">
        <v>3.9</v>
      </c>
      <c r="N37">
        <v>4.8</v>
      </c>
    </row>
    <row r="38" spans="1:14" x14ac:dyDescent="0.25">
      <c r="A38" t="s">
        <v>12</v>
      </c>
      <c r="B38" t="s">
        <v>0</v>
      </c>
      <c r="C38" t="s">
        <v>20</v>
      </c>
      <c r="D38">
        <v>102.32</v>
      </c>
      <c r="E38">
        <v>141.68</v>
      </c>
      <c r="F38" t="s">
        <v>13</v>
      </c>
      <c r="G38" t="s">
        <v>14</v>
      </c>
      <c r="H38">
        <v>6</v>
      </c>
      <c r="I38">
        <v>180</v>
      </c>
      <c r="J38">
        <v>81.099999999999994</v>
      </c>
      <c r="K38">
        <v>13</v>
      </c>
      <c r="M38">
        <v>1.9</v>
      </c>
      <c r="N38">
        <v>6.3</v>
      </c>
    </row>
    <row r="39" spans="1:14" x14ac:dyDescent="0.25">
      <c r="A39" t="s">
        <v>12</v>
      </c>
      <c r="B39" t="s">
        <v>0</v>
      </c>
      <c r="C39" t="s">
        <v>20</v>
      </c>
      <c r="D39">
        <v>133.88999999999999</v>
      </c>
      <c r="E39">
        <v>84.65</v>
      </c>
      <c r="F39" t="s">
        <v>18</v>
      </c>
      <c r="G39" t="s">
        <v>19</v>
      </c>
      <c r="H39">
        <v>8</v>
      </c>
      <c r="I39">
        <v>272</v>
      </c>
      <c r="J39">
        <v>93.2</v>
      </c>
      <c r="K39">
        <v>19</v>
      </c>
      <c r="M39">
        <v>3.1</v>
      </c>
      <c r="N39">
        <v>7.4</v>
      </c>
    </row>
    <row r="40" spans="1:14" x14ac:dyDescent="0.25">
      <c r="A40" t="s">
        <v>12</v>
      </c>
      <c r="B40" t="s">
        <v>0</v>
      </c>
      <c r="C40" t="s">
        <v>20</v>
      </c>
      <c r="D40">
        <v>120.05</v>
      </c>
      <c r="E40">
        <v>65.63</v>
      </c>
      <c r="F40" t="s">
        <v>13</v>
      </c>
      <c r="G40" t="s">
        <v>14</v>
      </c>
      <c r="H40">
        <v>8</v>
      </c>
      <c r="I40">
        <v>316</v>
      </c>
      <c r="J40">
        <v>92.6</v>
      </c>
      <c r="K40">
        <v>22</v>
      </c>
      <c r="M40">
        <v>3.4</v>
      </c>
      <c r="N40">
        <v>7.4</v>
      </c>
    </row>
    <row r="41" spans="1:14" x14ac:dyDescent="0.25">
      <c r="A41" t="s">
        <v>12</v>
      </c>
      <c r="B41" t="s">
        <v>0</v>
      </c>
      <c r="C41" t="s">
        <v>20</v>
      </c>
      <c r="D41">
        <v>183.59</v>
      </c>
      <c r="E41">
        <v>129.57</v>
      </c>
      <c r="F41" t="s">
        <v>22</v>
      </c>
      <c r="G41" t="s">
        <v>23</v>
      </c>
      <c r="H41">
        <v>9</v>
      </c>
      <c r="I41">
        <v>214</v>
      </c>
      <c r="J41">
        <v>86.5</v>
      </c>
      <c r="K41">
        <v>14</v>
      </c>
      <c r="M41">
        <v>2</v>
      </c>
      <c r="N41">
        <v>7.4</v>
      </c>
    </row>
    <row r="42" spans="1:14" x14ac:dyDescent="0.25">
      <c r="A42" t="s">
        <v>12</v>
      </c>
      <c r="B42" t="s">
        <v>0</v>
      </c>
      <c r="C42" t="s">
        <v>20</v>
      </c>
      <c r="D42">
        <v>179.26</v>
      </c>
      <c r="E42">
        <v>119.16</v>
      </c>
      <c r="F42" t="s">
        <v>18</v>
      </c>
      <c r="G42" t="s">
        <v>19</v>
      </c>
      <c r="H42">
        <v>9</v>
      </c>
      <c r="I42">
        <v>179</v>
      </c>
      <c r="J42">
        <v>65.5</v>
      </c>
      <c r="K42">
        <v>22</v>
      </c>
      <c r="M42">
        <v>4</v>
      </c>
      <c r="N42">
        <v>4</v>
      </c>
    </row>
    <row r="43" spans="1:14" x14ac:dyDescent="0.25">
      <c r="A43" t="s">
        <v>12</v>
      </c>
      <c r="B43" t="s">
        <v>0</v>
      </c>
      <c r="C43" t="s">
        <v>20</v>
      </c>
      <c r="D43">
        <v>119.55</v>
      </c>
      <c r="E43">
        <v>34.03</v>
      </c>
      <c r="F43" t="s">
        <v>22</v>
      </c>
      <c r="G43" t="s">
        <v>19</v>
      </c>
      <c r="H43">
        <v>8</v>
      </c>
      <c r="I43">
        <v>388</v>
      </c>
      <c r="J43">
        <v>105.2</v>
      </c>
      <c r="K43">
        <v>21</v>
      </c>
      <c r="M43">
        <v>5.8</v>
      </c>
      <c r="N43">
        <v>6.5</v>
      </c>
    </row>
    <row r="44" spans="1:14" x14ac:dyDescent="0.25">
      <c r="A44" t="s">
        <v>12</v>
      </c>
      <c r="B44" t="s">
        <v>0</v>
      </c>
      <c r="C44" t="s">
        <v>20</v>
      </c>
      <c r="D44">
        <v>136.78</v>
      </c>
      <c r="E44">
        <v>105.45</v>
      </c>
      <c r="F44" t="s">
        <v>18</v>
      </c>
      <c r="G44" t="s">
        <v>23</v>
      </c>
      <c r="H44">
        <v>8</v>
      </c>
      <c r="I44">
        <v>226</v>
      </c>
      <c r="J44">
        <v>93.3</v>
      </c>
      <c r="K44">
        <v>12</v>
      </c>
      <c r="M44">
        <v>2</v>
      </c>
      <c r="N44">
        <v>7.5</v>
      </c>
    </row>
    <row r="45" spans="1:14" x14ac:dyDescent="0.25">
      <c r="A45" t="s">
        <v>12</v>
      </c>
      <c r="B45" t="s">
        <v>0</v>
      </c>
      <c r="C45" t="s">
        <v>20</v>
      </c>
      <c r="D45">
        <v>146.88</v>
      </c>
      <c r="E45">
        <v>105.11</v>
      </c>
      <c r="F45" t="s">
        <v>18</v>
      </c>
      <c r="G45" t="s">
        <v>19</v>
      </c>
      <c r="H45">
        <v>8</v>
      </c>
      <c r="I45">
        <v>230</v>
      </c>
      <c r="J45">
        <v>100</v>
      </c>
      <c r="K45">
        <v>13</v>
      </c>
      <c r="M45">
        <v>2.8</v>
      </c>
      <c r="N45">
        <v>7</v>
      </c>
    </row>
    <row r="46" spans="1:14" x14ac:dyDescent="0.25">
      <c r="A46" t="s">
        <v>12</v>
      </c>
      <c r="B46" t="s">
        <v>0</v>
      </c>
      <c r="C46" t="s">
        <v>20</v>
      </c>
      <c r="D46">
        <v>103.97</v>
      </c>
      <c r="E46">
        <v>99.96</v>
      </c>
      <c r="F46" t="s">
        <v>18</v>
      </c>
      <c r="G46" t="s">
        <v>19</v>
      </c>
      <c r="H46">
        <v>7</v>
      </c>
      <c r="I46">
        <v>242</v>
      </c>
      <c r="J46">
        <v>97.5</v>
      </c>
      <c r="K46">
        <v>15</v>
      </c>
      <c r="M46">
        <v>2.9</v>
      </c>
      <c r="N46">
        <v>7.1</v>
      </c>
    </row>
    <row r="47" spans="1:14" x14ac:dyDescent="0.25">
      <c r="A47" t="s">
        <v>12</v>
      </c>
      <c r="B47" t="s">
        <v>0</v>
      </c>
      <c r="C47" t="s">
        <v>20</v>
      </c>
      <c r="D47">
        <v>177.33</v>
      </c>
      <c r="E47">
        <v>101.35</v>
      </c>
      <c r="F47" t="s">
        <v>18</v>
      </c>
      <c r="G47" t="s">
        <v>19</v>
      </c>
      <c r="H47">
        <v>9</v>
      </c>
      <c r="I47">
        <v>292</v>
      </c>
      <c r="J47">
        <v>107.5</v>
      </c>
      <c r="K47">
        <v>14</v>
      </c>
      <c r="M47">
        <v>4.5</v>
      </c>
      <c r="N47">
        <v>6.5</v>
      </c>
    </row>
    <row r="48" spans="1:14" x14ac:dyDescent="0.25">
      <c r="A48" t="s">
        <v>12</v>
      </c>
      <c r="B48" t="s">
        <v>0</v>
      </c>
      <c r="C48" t="s">
        <v>20</v>
      </c>
      <c r="D48">
        <v>97.49</v>
      </c>
      <c r="E48">
        <v>98.51</v>
      </c>
      <c r="F48" t="s">
        <v>18</v>
      </c>
      <c r="G48" t="s">
        <v>19</v>
      </c>
      <c r="H48">
        <v>7</v>
      </c>
      <c r="I48">
        <v>248</v>
      </c>
      <c r="J48">
        <v>76.5</v>
      </c>
      <c r="K48">
        <v>26</v>
      </c>
      <c r="M48">
        <v>4</v>
      </c>
      <c r="N48">
        <v>5.3</v>
      </c>
    </row>
    <row r="49" spans="1:14" x14ac:dyDescent="0.25">
      <c r="A49" t="s">
        <v>12</v>
      </c>
      <c r="B49" t="s">
        <v>0</v>
      </c>
      <c r="C49" t="s">
        <v>20</v>
      </c>
      <c r="D49">
        <v>123.81</v>
      </c>
      <c r="E49">
        <v>90.25</v>
      </c>
      <c r="F49" t="s">
        <v>18</v>
      </c>
      <c r="G49" t="s">
        <v>19</v>
      </c>
      <c r="H49">
        <v>8</v>
      </c>
      <c r="I49">
        <v>166</v>
      </c>
      <c r="J49">
        <v>76.900000000000006</v>
      </c>
      <c r="K49">
        <v>14</v>
      </c>
      <c r="M49">
        <v>2.2000000000000002</v>
      </c>
      <c r="N49">
        <v>5.5</v>
      </c>
    </row>
    <row r="50" spans="1:14" x14ac:dyDescent="0.25">
      <c r="A50" t="s">
        <v>12</v>
      </c>
      <c r="B50" t="s">
        <v>0</v>
      </c>
      <c r="C50" t="s">
        <v>20</v>
      </c>
      <c r="D50">
        <v>174.34</v>
      </c>
      <c r="E50">
        <v>60.09</v>
      </c>
      <c r="F50" t="s">
        <v>22</v>
      </c>
      <c r="G50" t="s">
        <v>23</v>
      </c>
      <c r="H50">
        <v>9</v>
      </c>
      <c r="I50">
        <v>347</v>
      </c>
      <c r="J50">
        <v>94.6</v>
      </c>
      <c r="K50">
        <v>23</v>
      </c>
      <c r="M50">
        <v>3.9</v>
      </c>
      <c r="N50">
        <v>7.2</v>
      </c>
    </row>
    <row r="51" spans="1:14" x14ac:dyDescent="0.25">
      <c r="A51" t="s">
        <v>12</v>
      </c>
      <c r="B51" t="s">
        <v>0</v>
      </c>
      <c r="C51" t="s">
        <v>20</v>
      </c>
      <c r="D51">
        <v>114.09</v>
      </c>
      <c r="E51">
        <v>120.22</v>
      </c>
      <c r="F51" t="s">
        <v>18</v>
      </c>
      <c r="G51" t="s">
        <v>19</v>
      </c>
      <c r="H51">
        <v>8</v>
      </c>
      <c r="I51">
        <v>192</v>
      </c>
      <c r="J51">
        <v>91.8</v>
      </c>
      <c r="K51">
        <v>13</v>
      </c>
      <c r="M51">
        <v>2</v>
      </c>
      <c r="N51">
        <v>7.6</v>
      </c>
    </row>
    <row r="52" spans="1:14" x14ac:dyDescent="0.25">
      <c r="A52" t="s">
        <v>12</v>
      </c>
      <c r="B52" t="s">
        <v>0</v>
      </c>
      <c r="C52" t="s">
        <v>20</v>
      </c>
      <c r="D52">
        <v>113.15</v>
      </c>
      <c r="E52">
        <v>73.930000000000007</v>
      </c>
      <c r="F52" t="s">
        <v>13</v>
      </c>
      <c r="G52" t="s">
        <v>14</v>
      </c>
      <c r="H52">
        <v>8</v>
      </c>
      <c r="I52">
        <v>297</v>
      </c>
      <c r="J52">
        <v>95.6</v>
      </c>
      <c r="K52">
        <v>15</v>
      </c>
      <c r="M52">
        <v>2.7</v>
      </c>
      <c r="N52">
        <v>7.3</v>
      </c>
    </row>
    <row r="53" spans="1:14" x14ac:dyDescent="0.25">
      <c r="A53" t="s">
        <v>12</v>
      </c>
      <c r="B53" t="s">
        <v>0</v>
      </c>
      <c r="C53" t="s">
        <v>20</v>
      </c>
      <c r="D53">
        <v>113.55</v>
      </c>
      <c r="E53">
        <v>67.209999999999994</v>
      </c>
      <c r="F53" t="s">
        <v>13</v>
      </c>
      <c r="G53" t="s">
        <v>14</v>
      </c>
      <c r="H53">
        <v>8</v>
      </c>
      <c r="I53">
        <v>313</v>
      </c>
      <c r="J53">
        <v>97.4</v>
      </c>
      <c r="K53">
        <v>18</v>
      </c>
      <c r="M53">
        <v>3.4</v>
      </c>
      <c r="N53">
        <v>7.1</v>
      </c>
    </row>
    <row r="54" spans="1:14" x14ac:dyDescent="0.25">
      <c r="A54" t="s">
        <v>12</v>
      </c>
      <c r="B54" t="s">
        <v>0</v>
      </c>
      <c r="C54" t="s">
        <v>20</v>
      </c>
      <c r="D54">
        <v>124.67</v>
      </c>
      <c r="E54">
        <v>54.21</v>
      </c>
      <c r="F54" t="s">
        <v>13</v>
      </c>
      <c r="G54" t="s">
        <v>14</v>
      </c>
      <c r="H54">
        <v>8</v>
      </c>
      <c r="I54">
        <v>341</v>
      </c>
      <c r="J54">
        <v>102.1</v>
      </c>
      <c r="K54">
        <v>18</v>
      </c>
      <c r="M54">
        <v>4.3</v>
      </c>
      <c r="N54">
        <v>6.8</v>
      </c>
    </row>
    <row r="55" spans="1:14" x14ac:dyDescent="0.25">
      <c r="A55" t="s">
        <v>12</v>
      </c>
      <c r="B55" t="s">
        <v>0</v>
      </c>
      <c r="C55" t="s">
        <v>24</v>
      </c>
      <c r="D55">
        <v>115.91</v>
      </c>
      <c r="E55">
        <v>161.87</v>
      </c>
      <c r="F55" t="s">
        <v>13</v>
      </c>
      <c r="G55" t="s">
        <v>14</v>
      </c>
      <c r="H55">
        <v>6</v>
      </c>
      <c r="I55" t="s">
        <v>15</v>
      </c>
      <c r="J55">
        <v>80</v>
      </c>
      <c r="K55">
        <v>69</v>
      </c>
      <c r="M55">
        <v>8.1999999999999993</v>
      </c>
      <c r="N55">
        <v>4.3</v>
      </c>
    </row>
    <row r="56" spans="1:14" x14ac:dyDescent="0.25">
      <c r="B56" s="1"/>
    </row>
    <row r="57" spans="1:14" x14ac:dyDescent="0.25">
      <c r="B57" s="1"/>
    </row>
    <row r="58" spans="1:14" x14ac:dyDescent="0.25">
      <c r="B58" s="1"/>
    </row>
    <row r="59" spans="1:14" x14ac:dyDescent="0.25">
      <c r="B59" s="1"/>
    </row>
    <row r="60" spans="1:14" x14ac:dyDescent="0.25">
      <c r="B60" s="1"/>
    </row>
    <row r="61" spans="1:14" x14ac:dyDescent="0.25">
      <c r="B61" s="1"/>
    </row>
    <row r="62" spans="1:14" x14ac:dyDescent="0.25">
      <c r="B62" s="1"/>
    </row>
    <row r="63" spans="1:14" x14ac:dyDescent="0.25">
      <c r="B63" s="1"/>
    </row>
    <row r="64" spans="1:14" x14ac:dyDescent="0.25">
      <c r="B64" s="1"/>
    </row>
    <row r="65" spans="2:2" x14ac:dyDescent="0.25">
      <c r="B65" s="1"/>
    </row>
    <row r="66" spans="2:2" x14ac:dyDescent="0.25">
      <c r="B66" s="1"/>
    </row>
    <row r="67" spans="2:2" x14ac:dyDescent="0.25">
      <c r="B67" s="1"/>
    </row>
    <row r="68" spans="2:2" x14ac:dyDescent="0.25">
      <c r="B68" s="1"/>
    </row>
    <row r="69" spans="2:2" x14ac:dyDescent="0.25">
      <c r="B69" s="1"/>
    </row>
    <row r="70" spans="2:2" x14ac:dyDescent="0.25">
      <c r="B70" s="1"/>
    </row>
    <row r="71" spans="2:2" x14ac:dyDescent="0.25">
      <c r="B71" s="1"/>
    </row>
    <row r="72" spans="2:2" x14ac:dyDescent="0.25">
      <c r="B72" s="1"/>
    </row>
    <row r="73" spans="2:2" x14ac:dyDescent="0.25">
      <c r="B73" s="1"/>
    </row>
    <row r="74" spans="2:2" x14ac:dyDescent="0.25">
      <c r="B74" s="1"/>
    </row>
    <row r="75" spans="2:2" x14ac:dyDescent="0.25">
      <c r="B75" s="1"/>
    </row>
    <row r="76" spans="2:2" x14ac:dyDescent="0.25">
      <c r="B76" s="1"/>
    </row>
    <row r="77" spans="2:2" x14ac:dyDescent="0.25">
      <c r="B77" s="1"/>
    </row>
    <row r="78" spans="2:2" x14ac:dyDescent="0.25">
      <c r="B78" s="1"/>
    </row>
    <row r="79" spans="2:2" x14ac:dyDescent="0.25">
      <c r="B79" s="1"/>
    </row>
    <row r="80" spans="2:2" x14ac:dyDescent="0.25">
      <c r="B80" s="1"/>
    </row>
    <row r="81" spans="2:2" x14ac:dyDescent="0.25">
      <c r="B81" s="1"/>
    </row>
    <row r="82" spans="2:2" x14ac:dyDescent="0.25">
      <c r="B82" s="1"/>
    </row>
    <row r="83" spans="2:2" x14ac:dyDescent="0.25">
      <c r="B83" s="1"/>
    </row>
    <row r="84" spans="2:2" x14ac:dyDescent="0.25">
      <c r="B84" s="1"/>
    </row>
    <row r="85" spans="2:2" x14ac:dyDescent="0.25">
      <c r="B85" s="1"/>
    </row>
    <row r="86" spans="2:2" x14ac:dyDescent="0.25">
      <c r="B86" s="1"/>
    </row>
    <row r="87" spans="2:2" x14ac:dyDescent="0.25">
      <c r="B87" s="1"/>
    </row>
    <row r="88" spans="2:2" x14ac:dyDescent="0.25">
      <c r="B88" s="1"/>
    </row>
    <row r="89" spans="2:2" x14ac:dyDescent="0.25">
      <c r="B89" s="1"/>
    </row>
    <row r="90" spans="2:2" x14ac:dyDescent="0.25">
      <c r="B90" s="1"/>
    </row>
    <row r="91" spans="2:2" x14ac:dyDescent="0.25">
      <c r="B91" s="1"/>
    </row>
    <row r="92" spans="2:2" x14ac:dyDescent="0.25">
      <c r="B92" s="1"/>
    </row>
    <row r="93" spans="2:2" x14ac:dyDescent="0.25">
      <c r="B93" s="1"/>
    </row>
    <row r="94" spans="2:2" x14ac:dyDescent="0.25">
      <c r="B94" s="1"/>
    </row>
    <row r="95" spans="2:2" x14ac:dyDescent="0.25">
      <c r="B95" s="1"/>
    </row>
    <row r="96" spans="2:2" x14ac:dyDescent="0.25">
      <c r="B96" s="1"/>
    </row>
    <row r="97" spans="2:2" x14ac:dyDescent="0.25">
      <c r="B97" s="1"/>
    </row>
    <row r="98" spans="2:2" x14ac:dyDescent="0.25">
      <c r="B98" s="1"/>
    </row>
    <row r="99" spans="2:2" x14ac:dyDescent="0.25">
      <c r="B99" s="1"/>
    </row>
    <row r="100" spans="2:2" x14ac:dyDescent="0.25">
      <c r="B100" s="1"/>
    </row>
    <row r="101" spans="2:2" x14ac:dyDescent="0.25">
      <c r="B101" s="1"/>
    </row>
    <row r="102" spans="2:2" x14ac:dyDescent="0.25">
      <c r="B102" s="1"/>
    </row>
    <row r="103" spans="2:2" x14ac:dyDescent="0.25">
      <c r="B103" s="1"/>
    </row>
    <row r="104" spans="2:2" x14ac:dyDescent="0.25">
      <c r="B104" s="1"/>
    </row>
    <row r="105" spans="2:2" x14ac:dyDescent="0.25">
      <c r="B105" s="1"/>
    </row>
    <row r="106" spans="2:2" x14ac:dyDescent="0.25">
      <c r="B106" s="1"/>
    </row>
    <row r="107" spans="2:2" x14ac:dyDescent="0.25">
      <c r="B107" s="1"/>
    </row>
    <row r="108" spans="2:2" x14ac:dyDescent="0.25">
      <c r="B108" s="1"/>
    </row>
    <row r="109" spans="2:2" x14ac:dyDescent="0.25">
      <c r="B109" s="1"/>
    </row>
    <row r="110" spans="2:2" x14ac:dyDescent="0.25">
      <c r="B110" s="1"/>
    </row>
    <row r="111" spans="2:2" x14ac:dyDescent="0.25">
      <c r="B111" s="1"/>
    </row>
    <row r="112" spans="2:2" x14ac:dyDescent="0.25">
      <c r="B112" s="1"/>
    </row>
    <row r="113" spans="2:2" x14ac:dyDescent="0.25">
      <c r="B113" s="1"/>
    </row>
    <row r="114" spans="2:2" x14ac:dyDescent="0.25">
      <c r="B114" s="1"/>
    </row>
    <row r="115" spans="2:2" x14ac:dyDescent="0.25">
      <c r="B115" s="1"/>
    </row>
    <row r="116" spans="2:2" x14ac:dyDescent="0.25">
      <c r="B116" s="1"/>
    </row>
    <row r="117" spans="2:2" x14ac:dyDescent="0.25">
      <c r="B117" s="1"/>
    </row>
    <row r="118" spans="2:2" x14ac:dyDescent="0.25">
      <c r="B118" s="1"/>
    </row>
    <row r="119" spans="2:2" x14ac:dyDescent="0.25">
      <c r="B119" s="1"/>
    </row>
    <row r="120" spans="2:2" x14ac:dyDescent="0.25">
      <c r="B120" s="1"/>
    </row>
    <row r="121" spans="2:2" x14ac:dyDescent="0.25">
      <c r="B121" s="1"/>
    </row>
    <row r="122" spans="2:2" x14ac:dyDescent="0.25">
      <c r="B122" s="1"/>
    </row>
    <row r="123" spans="2:2" x14ac:dyDescent="0.25">
      <c r="B123" s="1"/>
    </row>
    <row r="124" spans="2:2" x14ac:dyDescent="0.25">
      <c r="B124" s="1"/>
    </row>
    <row r="125" spans="2:2" x14ac:dyDescent="0.25">
      <c r="B125" s="1"/>
    </row>
    <row r="126" spans="2:2" x14ac:dyDescent="0.25">
      <c r="B126" s="1"/>
    </row>
    <row r="127" spans="2:2" x14ac:dyDescent="0.25">
      <c r="B127" s="1"/>
    </row>
    <row r="128" spans="2:2" x14ac:dyDescent="0.25">
      <c r="B128" s="1"/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</sheetData>
  <autoFilter ref="A1:K55" xr:uid="{00000000-0009-0000-0000-000000000000}">
    <sortState xmlns:xlrd2="http://schemas.microsoft.com/office/spreadsheetml/2017/richdata2" ref="A2:K55">
      <sortCondition ref="C1:C55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F81"/>
  <sheetViews>
    <sheetView workbookViewId="0">
      <selection activeCell="D35" sqref="D35"/>
    </sheetView>
  </sheetViews>
  <sheetFormatPr defaultRowHeight="15.75" x14ac:dyDescent="0.25"/>
  <sheetData>
    <row r="5" spans="1:13" x14ac:dyDescent="0.25">
      <c r="A5">
        <v>132.71</v>
      </c>
      <c r="B5">
        <v>218.53</v>
      </c>
      <c r="C5">
        <v>4.6728876755950077</v>
      </c>
      <c r="D5" t="s">
        <v>39</v>
      </c>
      <c r="E5" s="13">
        <f>SQRT((MAIN!$G$2-A5)^2+(MAIN!$I$2-B5)^2)</f>
        <v>146.37931889443945</v>
      </c>
      <c r="F5" t="s">
        <v>41</v>
      </c>
      <c r="G5" s="13">
        <f>MIN(MAIN!$R$2,E5/MAIN!$L$2)</f>
        <v>2</v>
      </c>
      <c r="H5" s="12">
        <f>(MAX(0,E5-(MAIN!$U$2)))/MAIN!$O$2</f>
        <v>16.422414861804931</v>
      </c>
      <c r="J5" s="12">
        <f t="shared" ref="J5:J36" si="0">G5+H5</f>
        <v>18.422414861804931</v>
      </c>
      <c r="K5" t="s">
        <v>39</v>
      </c>
      <c r="L5" s="14">
        <f>IF(J5&lt;=C5,MAIN!$L$7,IF(AND(J5&gt;C5,J5&lt;=C5+MAIN!$H$7),MAIN!$M$7,MAIN!$N$7))</f>
        <v>-1.2170000000000001</v>
      </c>
      <c r="M5" t="str">
        <f>IF(L5=MAIN!$L$7,"OUT",IF(L5=MAIN!$M$7,"SINGLE",IF(L5=MAIN!$N$7,"DOUBLE")))</f>
        <v>DOUBLE</v>
      </c>
    </row>
    <row r="6" spans="1:13" x14ac:dyDescent="0.25">
      <c r="A6">
        <v>139.68</v>
      </c>
      <c r="B6">
        <v>209.38</v>
      </c>
      <c r="C6">
        <v>2.7785814717896118</v>
      </c>
      <c r="D6" t="s">
        <v>39</v>
      </c>
      <c r="E6" s="13">
        <f>SQRT((MAIN!$G$2-A6)^2+(MAIN!$I$2-B6)^2)</f>
        <v>135.51710888297461</v>
      </c>
      <c r="F6" t="s">
        <v>41</v>
      </c>
      <c r="G6" s="13">
        <f>MIN(MAIN!$R$2,E6/MAIN!$L$2)</f>
        <v>2</v>
      </c>
      <c r="H6" s="12">
        <f>(MAX(0,E6-(MAIN!$U$2)))/MAIN!$O$2</f>
        <v>15.064638610371826</v>
      </c>
      <c r="J6" s="12">
        <f t="shared" si="0"/>
        <v>17.064638610371826</v>
      </c>
      <c r="K6" t="s">
        <v>39</v>
      </c>
      <c r="L6" s="14">
        <f>IF(J6&lt;=C6,MAIN!$L$7,IF(AND(J6&gt;C6,J6&lt;=C6+MAIN!$H$7),MAIN!$M$7,MAIN!$N$7))</f>
        <v>-1.2170000000000001</v>
      </c>
      <c r="M6" t="str">
        <f>IF(L6=MAIN!$L$7,"OUT",IF(L6=MAIN!$M$7,"SINGLE",IF(L6=MAIN!$N$7,"DOUBLE")))</f>
        <v>DOUBLE</v>
      </c>
    </row>
    <row r="7" spans="1:13" x14ac:dyDescent="0.25">
      <c r="A7">
        <v>153.5</v>
      </c>
      <c r="B7">
        <v>205.05</v>
      </c>
      <c r="C7">
        <v>2.8064191790602306</v>
      </c>
      <c r="D7" t="s">
        <v>39</v>
      </c>
      <c r="E7" s="13">
        <f>SQRT((MAIN!$G$2-A7)^2+(MAIN!$I$2-B7)^2)</f>
        <v>127.82704134884763</v>
      </c>
      <c r="F7" t="s">
        <v>41</v>
      </c>
      <c r="G7" s="13">
        <f>MIN(MAIN!$R$2,E7/MAIN!$L$2)</f>
        <v>2</v>
      </c>
      <c r="H7" s="12">
        <f>(MAX(0,E7-(MAIN!$U$2)))/MAIN!$O$2</f>
        <v>14.103380168605954</v>
      </c>
      <c r="J7" s="12">
        <f t="shared" si="0"/>
        <v>16.103380168605952</v>
      </c>
      <c r="K7" t="s">
        <v>39</v>
      </c>
      <c r="L7" s="14">
        <f>IF(J7&lt;=C7,MAIN!$L$7,IF(AND(J7&gt;C7,J7&lt;=C7+MAIN!$H$7),MAIN!$M$7,MAIN!$N$7))</f>
        <v>-1.2170000000000001</v>
      </c>
      <c r="M7" t="str">
        <f>IF(L7=MAIN!$L$7,"OUT",IF(L7=MAIN!$M$7,"SINGLE",IF(L7=MAIN!$N$7,"DOUBLE")))</f>
        <v>DOUBLE</v>
      </c>
    </row>
    <row r="8" spans="1:13" x14ac:dyDescent="0.25">
      <c r="A8">
        <v>108.8</v>
      </c>
      <c r="B8">
        <v>202</v>
      </c>
      <c r="C8">
        <v>4.3857053568154329</v>
      </c>
      <c r="D8" t="s">
        <v>39</v>
      </c>
      <c r="E8" s="13">
        <f>SQRT((MAIN!$G$2-A8)^2+(MAIN!$I$2-B8)^2)</f>
        <v>141.25664586135409</v>
      </c>
      <c r="F8" t="s">
        <v>41</v>
      </c>
      <c r="G8" s="13">
        <f>MIN(MAIN!$R$2,E8/MAIN!$L$2)</f>
        <v>2</v>
      </c>
      <c r="H8" s="12">
        <f>(MAX(0,E8-(MAIN!$U$2)))/MAIN!$O$2</f>
        <v>15.782080732669261</v>
      </c>
      <c r="J8" s="12">
        <f t="shared" si="0"/>
        <v>17.782080732669261</v>
      </c>
      <c r="K8" t="s">
        <v>39</v>
      </c>
      <c r="L8" s="14">
        <f>IF(J8&lt;=C8,MAIN!$L$7,IF(AND(J8&gt;C8,J8&lt;=C8+MAIN!$H$7),MAIN!$M$7,MAIN!$N$7))</f>
        <v>-1.2170000000000001</v>
      </c>
      <c r="M8" t="str">
        <f>IF(L8=MAIN!$L$7,"OUT",IF(L8=MAIN!$M$7,"SINGLE",IF(L8=MAIN!$N$7,"DOUBLE")))</f>
        <v>DOUBLE</v>
      </c>
    </row>
    <row r="9" spans="1:13" x14ac:dyDescent="0.25">
      <c r="A9">
        <v>157.06</v>
      </c>
      <c r="B9">
        <v>196.41</v>
      </c>
      <c r="C9">
        <v>3.7468402394393441</v>
      </c>
      <c r="D9" t="s">
        <v>39</v>
      </c>
      <c r="E9" s="13">
        <f>SQRT((MAIN!$G$2-A9)^2+(MAIN!$I$2-B9)^2)</f>
        <v>118.64877454065845</v>
      </c>
      <c r="F9" t="s">
        <v>41</v>
      </c>
      <c r="G9" s="13">
        <f>MIN(MAIN!$R$2,E9/MAIN!$L$2)</f>
        <v>2</v>
      </c>
      <c r="H9" s="12">
        <f>(MAX(0,E9-(MAIN!$U$2)))/MAIN!$O$2</f>
        <v>12.956096817582306</v>
      </c>
      <c r="J9" s="12">
        <f t="shared" si="0"/>
        <v>14.956096817582306</v>
      </c>
      <c r="K9" t="s">
        <v>39</v>
      </c>
      <c r="L9" s="14">
        <f>IF(J9&lt;=C9,MAIN!$L$7,IF(AND(J9&gt;C9,J9&lt;=C9+MAIN!$H$7),MAIN!$M$7,MAIN!$N$7))</f>
        <v>-1.2170000000000001</v>
      </c>
      <c r="M9" t="str">
        <f>IF(L9=MAIN!$L$7,"OUT",IF(L9=MAIN!$M$7,"SINGLE",IF(L9=MAIN!$N$7,"DOUBLE")))</f>
        <v>DOUBLE</v>
      </c>
    </row>
    <row r="10" spans="1:13" x14ac:dyDescent="0.25">
      <c r="A10">
        <v>139.28</v>
      </c>
      <c r="B10">
        <v>190.83</v>
      </c>
      <c r="C10">
        <v>4.5373992720422907</v>
      </c>
      <c r="D10" t="s">
        <v>39</v>
      </c>
      <c r="E10" s="13">
        <f>SQRT((MAIN!$G$2-A10)^2+(MAIN!$I$2-B10)^2)</f>
        <v>118.07373670719498</v>
      </c>
      <c r="F10" t="s">
        <v>41</v>
      </c>
      <c r="G10" s="13">
        <f>MIN(MAIN!$R$2,E10/MAIN!$L$2)</f>
        <v>2</v>
      </c>
      <c r="H10" s="12">
        <f>(MAX(0,E10-(MAIN!$U$2)))/MAIN!$O$2</f>
        <v>12.884217088399373</v>
      </c>
      <c r="J10" s="12">
        <f t="shared" si="0"/>
        <v>14.884217088399373</v>
      </c>
      <c r="K10" t="s">
        <v>39</v>
      </c>
      <c r="L10" s="14">
        <f>IF(J10&lt;=C10,MAIN!$L$7,IF(AND(J10&gt;C10,J10&lt;=C10+MAIN!$H$7),MAIN!$M$7,MAIN!$N$7))</f>
        <v>-1.2170000000000001</v>
      </c>
      <c r="M10" t="str">
        <f>IF(L10=MAIN!$L$7,"OUT",IF(L10=MAIN!$M$7,"SINGLE",IF(L10=MAIN!$N$7,"DOUBLE")))</f>
        <v>DOUBLE</v>
      </c>
    </row>
    <row r="11" spans="1:13" x14ac:dyDescent="0.25">
      <c r="A11">
        <v>122.87</v>
      </c>
      <c r="B11">
        <v>189.1</v>
      </c>
      <c r="C11">
        <v>3.7468402394393441</v>
      </c>
      <c r="D11" t="s">
        <v>39</v>
      </c>
      <c r="E11" s="13">
        <f>SQRT((MAIN!$G$2-A11)^2+(MAIN!$I$2-B11)^2)</f>
        <v>123.15294109358493</v>
      </c>
      <c r="F11" t="s">
        <v>41</v>
      </c>
      <c r="G11" s="13">
        <f>MIN(MAIN!$R$2,E11/MAIN!$L$2)</f>
        <v>2</v>
      </c>
      <c r="H11" s="12">
        <f>(MAX(0,E11-(MAIN!$U$2)))/MAIN!$O$2</f>
        <v>13.519117636698116</v>
      </c>
      <c r="J11" s="12">
        <f t="shared" si="0"/>
        <v>15.519117636698116</v>
      </c>
      <c r="K11" t="s">
        <v>39</v>
      </c>
      <c r="L11" s="14">
        <f>IF(J11&lt;=C11,MAIN!$L$7,IF(AND(J11&gt;C11,J11&lt;=C11+MAIN!$H$7),MAIN!$M$7,MAIN!$N$7))</f>
        <v>-1.2170000000000001</v>
      </c>
      <c r="M11" t="str">
        <f>IF(L11=MAIN!$L$7,"OUT",IF(L11=MAIN!$M$7,"SINGLE",IF(L11=MAIN!$N$7,"DOUBLE")))</f>
        <v>DOUBLE</v>
      </c>
    </row>
    <row r="12" spans="1:13" x14ac:dyDescent="0.25">
      <c r="A12">
        <v>157.06</v>
      </c>
      <c r="B12">
        <v>188.79</v>
      </c>
      <c r="C12">
        <v>4.363236140249902</v>
      </c>
      <c r="D12" t="s">
        <v>39</v>
      </c>
      <c r="E12" s="13">
        <f>SQRT((MAIN!$G$2-A12)^2+(MAIN!$I$2-B12)^2)</f>
        <v>111.18231738905247</v>
      </c>
      <c r="F12" t="s">
        <v>41</v>
      </c>
      <c r="G12" s="13">
        <f>MIN(MAIN!$R$2,E12/MAIN!$L$2)</f>
        <v>2</v>
      </c>
      <c r="H12" s="12">
        <f>(MAX(0,E12-(MAIN!$U$2)))/MAIN!$O$2</f>
        <v>12.022789673631559</v>
      </c>
      <c r="J12" s="12">
        <f t="shared" si="0"/>
        <v>14.022789673631559</v>
      </c>
      <c r="K12" t="s">
        <v>39</v>
      </c>
      <c r="L12" s="14">
        <f>IF(J12&lt;=C12,MAIN!$L$7,IF(AND(J12&gt;C12,J12&lt;=C12+MAIN!$H$7),MAIN!$M$7,MAIN!$N$7))</f>
        <v>-1.2170000000000001</v>
      </c>
      <c r="M12" t="str">
        <f>IF(L12=MAIN!$L$7,"OUT",IF(L12=MAIN!$M$7,"SINGLE",IF(L12=MAIN!$N$7,"DOUBLE")))</f>
        <v>DOUBLE</v>
      </c>
    </row>
    <row r="13" spans="1:13" x14ac:dyDescent="0.25">
      <c r="A13">
        <v>153.84</v>
      </c>
      <c r="B13">
        <v>188.27</v>
      </c>
      <c r="C13">
        <v>3.7468402394393441</v>
      </c>
      <c r="D13" t="s">
        <v>39</v>
      </c>
      <c r="E13" s="13">
        <f>SQRT((MAIN!$G$2-A13)^2+(MAIN!$I$2-B13)^2)</f>
        <v>111.38553990532165</v>
      </c>
      <c r="F13" t="s">
        <v>41</v>
      </c>
      <c r="G13" s="13">
        <f>MIN(MAIN!$R$2,E13/MAIN!$L$2)</f>
        <v>2</v>
      </c>
      <c r="H13" s="12">
        <f>(MAX(0,E13-(MAIN!$U$2)))/MAIN!$O$2</f>
        <v>12.048192488165206</v>
      </c>
      <c r="J13" s="12">
        <f t="shared" si="0"/>
        <v>14.048192488165206</v>
      </c>
      <c r="K13" t="s">
        <v>39</v>
      </c>
      <c r="L13" s="14">
        <f>IF(J13&lt;=C13,MAIN!$L$7,IF(AND(J13&gt;C13,J13&lt;=C13+MAIN!$H$7),MAIN!$M$7,MAIN!$N$7))</f>
        <v>-1.2170000000000001</v>
      </c>
      <c r="M13" t="str">
        <f>IF(L13=MAIN!$L$7,"OUT",IF(L13=MAIN!$M$7,"SINGLE",IF(L13=MAIN!$N$7,"DOUBLE")))</f>
        <v>DOUBLE</v>
      </c>
    </row>
    <row r="14" spans="1:13" x14ac:dyDescent="0.25">
      <c r="A14">
        <v>161.63</v>
      </c>
      <c r="B14">
        <v>187.78</v>
      </c>
      <c r="C14">
        <v>3.0683724914180743</v>
      </c>
      <c r="D14" t="s">
        <v>39</v>
      </c>
      <c r="E14" s="13">
        <f>SQRT((MAIN!$G$2-A14)^2+(MAIN!$I$2-B14)^2)</f>
        <v>109.33428236376733</v>
      </c>
      <c r="F14" t="s">
        <v>41</v>
      </c>
      <c r="G14" s="13">
        <f>MIN(MAIN!$R$2,E14/MAIN!$L$2)</f>
        <v>2</v>
      </c>
      <c r="H14" s="12">
        <f>(MAX(0,E14-(MAIN!$U$2)))/MAIN!$O$2</f>
        <v>11.791785295470916</v>
      </c>
      <c r="J14" s="12">
        <f t="shared" si="0"/>
        <v>13.791785295470916</v>
      </c>
      <c r="K14" t="s">
        <v>39</v>
      </c>
      <c r="L14" s="14">
        <f>IF(J14&lt;=C14,MAIN!$L$7,IF(AND(J14&gt;C14,J14&lt;=C14+MAIN!$H$7),MAIN!$M$7,MAIN!$N$7))</f>
        <v>-1.2170000000000001</v>
      </c>
      <c r="M14" t="str">
        <f>IF(L14=MAIN!$L$7,"OUT",IF(L14=MAIN!$M$7,"SINGLE",IF(L14=MAIN!$N$7,"DOUBLE")))</f>
        <v>DOUBLE</v>
      </c>
    </row>
    <row r="15" spans="1:13" x14ac:dyDescent="0.25">
      <c r="A15">
        <v>116.87</v>
      </c>
      <c r="B15">
        <v>184.65</v>
      </c>
      <c r="C15">
        <v>3.7468402394393441</v>
      </c>
      <c r="D15" t="s">
        <v>39</v>
      </c>
      <c r="E15" s="13">
        <f>SQRT((MAIN!$G$2-A15)^2+(MAIN!$I$2-B15)^2)</f>
        <v>122.21709945830003</v>
      </c>
      <c r="F15" t="s">
        <v>41</v>
      </c>
      <c r="G15" s="13">
        <f>MIN(MAIN!$R$2,E15/MAIN!$L$2)</f>
        <v>2</v>
      </c>
      <c r="H15" s="12">
        <f>(MAX(0,E15-(MAIN!$U$2)))/MAIN!$O$2</f>
        <v>13.402137432287503</v>
      </c>
      <c r="J15" s="12">
        <f t="shared" si="0"/>
        <v>15.402137432287503</v>
      </c>
      <c r="K15" t="s">
        <v>39</v>
      </c>
      <c r="L15" s="14">
        <f>IF(J15&lt;=C15,MAIN!$L$7,IF(AND(J15&gt;C15,J15&lt;=C15+MAIN!$H$7),MAIN!$M$7,MAIN!$N$7))</f>
        <v>-1.2170000000000001</v>
      </c>
      <c r="M15" t="str">
        <f>IF(L15=MAIN!$L$7,"OUT",IF(L15=MAIN!$M$7,"SINGLE",IF(L15=MAIN!$N$7,"DOUBLE")))</f>
        <v>DOUBLE</v>
      </c>
    </row>
    <row r="16" spans="1:13" x14ac:dyDescent="0.25">
      <c r="A16">
        <v>82.39</v>
      </c>
      <c r="B16">
        <v>180.16</v>
      </c>
      <c r="C16">
        <v>3.7468402394393441</v>
      </c>
      <c r="D16" t="s">
        <v>39</v>
      </c>
      <c r="E16" s="13">
        <f>SQRT((MAIN!$G$2-A16)^2+(MAIN!$I$2-B16)^2)</f>
        <v>139.85613215014919</v>
      </c>
      <c r="F16" t="s">
        <v>41</v>
      </c>
      <c r="G16" s="13">
        <f>MIN(MAIN!$R$2,E16/MAIN!$L$2)</f>
        <v>2</v>
      </c>
      <c r="H16" s="12">
        <f>(MAX(0,E16-(MAIN!$U$2)))/MAIN!$O$2</f>
        <v>15.607016518768649</v>
      </c>
      <c r="J16" s="12">
        <f t="shared" si="0"/>
        <v>17.607016518768649</v>
      </c>
      <c r="K16" t="s">
        <v>39</v>
      </c>
      <c r="L16" s="14">
        <f>IF(J16&lt;=C16,MAIN!$L$7,IF(AND(J16&gt;C16,J16&lt;=C16+MAIN!$H$7),MAIN!$M$7,MAIN!$N$7))</f>
        <v>-1.2170000000000001</v>
      </c>
      <c r="M16" t="str">
        <f>IF(L16=MAIN!$L$7,"OUT",IF(L16=MAIN!$M$7,"SINGLE",IF(L16=MAIN!$N$7,"DOUBLE")))</f>
        <v>DOUBLE</v>
      </c>
    </row>
    <row r="17" spans="1:13" x14ac:dyDescent="0.25">
      <c r="A17">
        <v>169.25</v>
      </c>
      <c r="B17">
        <v>179.65</v>
      </c>
      <c r="C17">
        <v>3.7468402394393441</v>
      </c>
      <c r="D17" t="s">
        <v>39</v>
      </c>
      <c r="E17" s="13">
        <f>SQRT((MAIN!$G$2-A17)^2+(MAIN!$I$2-B17)^2)</f>
        <v>100.22816470433848</v>
      </c>
      <c r="F17" t="s">
        <v>41</v>
      </c>
      <c r="G17" s="13">
        <f>MIN(MAIN!$R$2,E17/MAIN!$L$2)</f>
        <v>2</v>
      </c>
      <c r="H17" s="12">
        <f>(MAX(0,E17-(MAIN!$U$2)))/MAIN!$O$2</f>
        <v>10.65352058804231</v>
      </c>
      <c r="J17" s="12">
        <f t="shared" si="0"/>
        <v>12.65352058804231</v>
      </c>
      <c r="K17" t="s">
        <v>39</v>
      </c>
      <c r="L17" s="14">
        <f>IF(J17&lt;=C17,MAIN!$L$7,IF(AND(J17&gt;C17,J17&lt;=C17+MAIN!$H$7),MAIN!$M$7,MAIN!$N$7))</f>
        <v>-1.2170000000000001</v>
      </c>
      <c r="M17" t="str">
        <f>IF(L17=MAIN!$L$7,"OUT",IF(L17=MAIN!$M$7,"SINGLE",IF(L17=MAIN!$N$7,"DOUBLE")))</f>
        <v>DOUBLE</v>
      </c>
    </row>
    <row r="18" spans="1:13" x14ac:dyDescent="0.25">
      <c r="A18">
        <v>173.82</v>
      </c>
      <c r="B18">
        <v>175.59</v>
      </c>
      <c r="C18">
        <v>3.7468402394393441</v>
      </c>
      <c r="D18" t="s">
        <v>39</v>
      </c>
      <c r="E18" s="13">
        <f>SQRT((MAIN!$G$2-A18)^2+(MAIN!$I$2-B18)^2)</f>
        <v>95.789563627777326</v>
      </c>
      <c r="F18" t="s">
        <v>41</v>
      </c>
      <c r="G18" s="13">
        <f>MIN(MAIN!$R$2,E18/MAIN!$L$2)</f>
        <v>2</v>
      </c>
      <c r="H18" s="12">
        <f>(MAX(0,E18-(MAIN!$U$2)))/MAIN!$O$2</f>
        <v>10.098695453472166</v>
      </c>
      <c r="J18" s="12">
        <f t="shared" si="0"/>
        <v>12.098695453472166</v>
      </c>
      <c r="K18" t="s">
        <v>39</v>
      </c>
      <c r="L18" s="14">
        <f>IF(J18&lt;=C18,MAIN!$L$7,IF(AND(J18&gt;C18,J18&lt;=C18+MAIN!$H$7),MAIN!$M$7,MAIN!$N$7))</f>
        <v>-1.2170000000000001</v>
      </c>
      <c r="M18" t="str">
        <f>IF(L18=MAIN!$L$7,"OUT",IF(L18=MAIN!$M$7,"SINGLE",IF(L18=MAIN!$N$7,"DOUBLE")))</f>
        <v>DOUBLE</v>
      </c>
    </row>
    <row r="19" spans="1:13" x14ac:dyDescent="0.25">
      <c r="A19">
        <v>171.94</v>
      </c>
      <c r="B19">
        <v>171.66</v>
      </c>
      <c r="C19">
        <v>3.5642726351709069</v>
      </c>
      <c r="D19" t="s">
        <v>39</v>
      </c>
      <c r="E19" s="13">
        <f>SQRT((MAIN!$G$2-A19)^2+(MAIN!$I$2-B19)^2)</f>
        <v>92.013690285739543</v>
      </c>
      <c r="F19" t="s">
        <v>41</v>
      </c>
      <c r="G19" s="13">
        <f>MIN(MAIN!$R$2,E19/MAIN!$L$2)</f>
        <v>2</v>
      </c>
      <c r="H19" s="12">
        <f>(MAX(0,E19-(MAIN!$U$2)))/MAIN!$O$2</f>
        <v>9.6267112857174428</v>
      </c>
      <c r="J19" s="12">
        <f t="shared" si="0"/>
        <v>11.626711285717443</v>
      </c>
      <c r="K19" t="s">
        <v>39</v>
      </c>
      <c r="L19" s="14">
        <f>IF(J19&lt;=C19,MAIN!$L$7,IF(AND(J19&gt;C19,J19&lt;=C19+MAIN!$H$7),MAIN!$M$7,MAIN!$N$7))</f>
        <v>-1.2170000000000001</v>
      </c>
      <c r="M19" t="str">
        <f>IF(L19=MAIN!$L$7,"OUT",IF(L19=MAIN!$M$7,"SINGLE",IF(L19=MAIN!$N$7,"DOUBLE")))</f>
        <v>DOUBLE</v>
      </c>
    </row>
    <row r="20" spans="1:13" x14ac:dyDescent="0.25">
      <c r="A20">
        <v>138.62</v>
      </c>
      <c r="B20">
        <v>171.66</v>
      </c>
      <c r="C20">
        <v>3.7468402394393441</v>
      </c>
      <c r="D20" t="s">
        <v>39</v>
      </c>
      <c r="E20" s="13">
        <f>SQRT((MAIN!$G$2-A20)^2+(MAIN!$I$2-B20)^2)</f>
        <v>100.56768864799469</v>
      </c>
      <c r="F20" t="s">
        <v>41</v>
      </c>
      <c r="G20" s="13">
        <f>MIN(MAIN!$R$2,E20/MAIN!$L$2)</f>
        <v>2</v>
      </c>
      <c r="H20" s="12">
        <f>(MAX(0,E20-(MAIN!$U$2)))/MAIN!$O$2</f>
        <v>10.695961080999336</v>
      </c>
      <c r="J20" s="12">
        <f t="shared" si="0"/>
        <v>12.695961080999336</v>
      </c>
      <c r="K20" t="s">
        <v>39</v>
      </c>
      <c r="L20" s="14">
        <f>IF(J20&lt;=C20,MAIN!$L$7,IF(AND(J20&gt;C20,J20&lt;=C20+MAIN!$H$7),MAIN!$M$7,MAIN!$N$7))</f>
        <v>-1.2170000000000001</v>
      </c>
      <c r="M20" t="str">
        <f>IF(L20=MAIN!$L$7,"OUT",IF(L20=MAIN!$M$7,"SINGLE",IF(L20=MAIN!$N$7,"DOUBLE")))</f>
        <v>DOUBLE</v>
      </c>
    </row>
    <row r="21" spans="1:13" x14ac:dyDescent="0.25">
      <c r="A21">
        <v>101.22</v>
      </c>
      <c r="B21">
        <v>168.87</v>
      </c>
      <c r="C21">
        <v>1.3552350510284257</v>
      </c>
      <c r="D21" t="s">
        <v>39</v>
      </c>
      <c r="E21" s="13">
        <f>SQRT((MAIN!$G$2-A21)^2+(MAIN!$I$2-B21)^2)</f>
        <v>118.76095865224397</v>
      </c>
      <c r="F21" t="s">
        <v>41</v>
      </c>
      <c r="G21" s="13">
        <f>MIN(MAIN!$R$2,E21/MAIN!$L$2)</f>
        <v>2</v>
      </c>
      <c r="H21" s="12">
        <f>(MAX(0,E21-(MAIN!$U$2)))/MAIN!$O$2</f>
        <v>12.970119831530496</v>
      </c>
      <c r="J21" s="12">
        <f t="shared" si="0"/>
        <v>14.970119831530496</v>
      </c>
      <c r="K21" t="s">
        <v>39</v>
      </c>
      <c r="L21" s="14">
        <f>IF(J21&lt;=C21,MAIN!$L$7,IF(AND(J21&gt;C21,J21&lt;=C21+MAIN!$H$7),MAIN!$M$7,MAIN!$N$7))</f>
        <v>-1.2170000000000001</v>
      </c>
      <c r="M21" t="str">
        <f>IF(L21=MAIN!$L$7,"OUT",IF(L21=MAIN!$M$7,"SINGLE",IF(L21=MAIN!$N$7,"DOUBLE")))</f>
        <v>DOUBLE</v>
      </c>
    </row>
    <row r="22" spans="1:13" x14ac:dyDescent="0.25">
      <c r="A22">
        <v>154.52000000000001</v>
      </c>
      <c r="B22">
        <v>168.48</v>
      </c>
      <c r="C22">
        <v>3.7468402394393441</v>
      </c>
      <c r="D22" t="s">
        <v>39</v>
      </c>
      <c r="E22" s="13">
        <f>SQRT((MAIN!$G$2-A22)^2+(MAIN!$I$2-B22)^2)</f>
        <v>92.075734045404147</v>
      </c>
      <c r="F22" t="s">
        <v>41</v>
      </c>
      <c r="G22" s="13">
        <f>MIN(MAIN!$R$2,E22/MAIN!$L$2)</f>
        <v>2</v>
      </c>
      <c r="H22" s="12">
        <f>(MAX(0,E22-(MAIN!$U$2)))/MAIN!$O$2</f>
        <v>9.6344667556755184</v>
      </c>
      <c r="J22" s="12">
        <f t="shared" si="0"/>
        <v>11.634466755675518</v>
      </c>
      <c r="K22" t="s">
        <v>39</v>
      </c>
      <c r="L22" s="14">
        <f>IF(J22&lt;=C22,MAIN!$L$7,IF(AND(J22&gt;C22,J22&lt;=C22+MAIN!$H$7),MAIN!$M$7,MAIN!$N$7))</f>
        <v>-1.2170000000000001</v>
      </c>
      <c r="M22" t="str">
        <f>IF(L22=MAIN!$L$7,"OUT",IF(L22=MAIN!$M$7,"SINGLE",IF(L22=MAIN!$N$7,"DOUBLE")))</f>
        <v>DOUBLE</v>
      </c>
    </row>
    <row r="23" spans="1:13" x14ac:dyDescent="0.25">
      <c r="A23">
        <v>151.47</v>
      </c>
      <c r="B23">
        <v>167.46</v>
      </c>
      <c r="C23">
        <v>0.94447870359479558</v>
      </c>
      <c r="D23" t="s">
        <v>39</v>
      </c>
      <c r="E23" s="13">
        <f>SQRT((MAIN!$G$2-A23)^2+(MAIN!$I$2-B23)^2)</f>
        <v>91.995720009139561</v>
      </c>
      <c r="F23" t="s">
        <v>41</v>
      </c>
      <c r="G23" s="13">
        <f>MIN(MAIN!$R$2,E23/MAIN!$L$2)</f>
        <v>2</v>
      </c>
      <c r="H23" s="12">
        <f>(MAX(0,E23-(MAIN!$U$2)))/MAIN!$O$2</f>
        <v>9.6244650011424451</v>
      </c>
      <c r="J23" s="12">
        <f t="shared" si="0"/>
        <v>11.624465001142445</v>
      </c>
      <c r="K23" t="s">
        <v>39</v>
      </c>
      <c r="L23" s="14">
        <f>IF(J23&lt;=C23,MAIN!$L$7,IF(AND(J23&gt;C23,J23&lt;=C23+MAIN!$H$7),MAIN!$M$7,MAIN!$N$7))</f>
        <v>-1.2170000000000001</v>
      </c>
      <c r="M23" t="str">
        <f>IF(L23=MAIN!$L$7,"OUT",IF(L23=MAIN!$M$7,"SINGLE",IF(L23=MAIN!$N$7,"DOUBLE")))</f>
        <v>DOUBLE</v>
      </c>
    </row>
    <row r="24" spans="1:13" x14ac:dyDescent="0.25">
      <c r="A24">
        <v>97.88</v>
      </c>
      <c r="B24">
        <v>166</v>
      </c>
      <c r="C24">
        <v>1.3001502898607735</v>
      </c>
      <c r="D24" t="s">
        <v>39</v>
      </c>
      <c r="E24" s="13">
        <f>SQRT((MAIN!$G$2-A24)^2+(MAIN!$I$2-B24)^2)</f>
        <v>118.910446975865</v>
      </c>
      <c r="F24" t="s">
        <v>41</v>
      </c>
      <c r="G24" s="13">
        <f>MIN(MAIN!$R$2,E24/MAIN!$L$2)</f>
        <v>2</v>
      </c>
      <c r="H24" s="12">
        <f>(MAX(0,E24-(MAIN!$U$2)))/MAIN!$O$2</f>
        <v>12.988805871983125</v>
      </c>
      <c r="J24" s="12">
        <f t="shared" si="0"/>
        <v>14.988805871983125</v>
      </c>
      <c r="K24" t="s">
        <v>39</v>
      </c>
      <c r="L24" s="14">
        <f>IF(J24&lt;=C24,MAIN!$L$7,IF(AND(J24&gt;C24,J24&lt;=C24+MAIN!$H$7),MAIN!$M$7,MAIN!$N$7))</f>
        <v>-1.2170000000000001</v>
      </c>
      <c r="M24" t="str">
        <f>IF(L24=MAIN!$L$7,"OUT",IF(L24=MAIN!$M$7,"SINGLE",IF(L24=MAIN!$N$7,"DOUBLE")))</f>
        <v>DOUBLE</v>
      </c>
    </row>
    <row r="25" spans="1:13" x14ac:dyDescent="0.25">
      <c r="A25">
        <v>151.47</v>
      </c>
      <c r="B25">
        <v>163.9</v>
      </c>
      <c r="C25">
        <v>3.7468402394393441</v>
      </c>
      <c r="D25" t="s">
        <v>39</v>
      </c>
      <c r="E25" s="13">
        <f>SQRT((MAIN!$G$2-A25)^2+(MAIN!$I$2-B25)^2)</f>
        <v>88.618118350594656</v>
      </c>
      <c r="F25" t="s">
        <v>41</v>
      </c>
      <c r="G25" s="13">
        <f>MIN(MAIN!$R$2,E25/MAIN!$L$2)</f>
        <v>2</v>
      </c>
      <c r="H25" s="12">
        <f>(MAX(0,E25-(MAIN!$U$2)))/MAIN!$O$2</f>
        <v>9.202264793824332</v>
      </c>
      <c r="J25" s="12">
        <f t="shared" si="0"/>
        <v>11.202264793824332</v>
      </c>
      <c r="K25" t="s">
        <v>39</v>
      </c>
      <c r="L25" s="14">
        <f>IF(J25&lt;=C25,MAIN!$L$7,IF(AND(J25&gt;C25,J25&lt;=C25+MAIN!$H$7),MAIN!$M$7,MAIN!$N$7))</f>
        <v>-1.2170000000000001</v>
      </c>
      <c r="M25" t="str">
        <f>IF(L25=MAIN!$L$7,"OUT",IF(L25=MAIN!$M$7,"SINGLE",IF(L25=MAIN!$N$7,"DOUBLE")))</f>
        <v>DOUBLE</v>
      </c>
    </row>
    <row r="26" spans="1:13" x14ac:dyDescent="0.25">
      <c r="A26">
        <v>157.06</v>
      </c>
      <c r="B26">
        <v>163.4</v>
      </c>
      <c r="C26">
        <v>3.7468402394393441</v>
      </c>
      <c r="D26" t="s">
        <v>39</v>
      </c>
      <c r="E26" s="13">
        <f>SQRT((MAIN!$G$2-A26)^2+(MAIN!$I$2-B26)^2)</f>
        <v>86.49741961469141</v>
      </c>
      <c r="F26" t="s">
        <v>41</v>
      </c>
      <c r="G26" s="13">
        <f>MIN(MAIN!$R$2,E26/MAIN!$L$2)</f>
        <v>2</v>
      </c>
      <c r="H26" s="12">
        <f>(MAX(0,E26-(MAIN!$U$2)))/MAIN!$O$2</f>
        <v>8.9371774518364262</v>
      </c>
      <c r="J26" s="12">
        <f t="shared" si="0"/>
        <v>10.937177451836426</v>
      </c>
      <c r="K26" t="s">
        <v>39</v>
      </c>
      <c r="L26" s="14">
        <f>IF(J26&lt;=C26,MAIN!$L$7,IF(AND(J26&gt;C26,J26&lt;=C26+MAIN!$H$7),MAIN!$M$7,MAIN!$N$7))</f>
        <v>-1.2170000000000001</v>
      </c>
      <c r="M26" t="str">
        <f>IF(L26=MAIN!$L$7,"OUT",IF(L26=MAIN!$M$7,"SINGLE",IF(L26=MAIN!$N$7,"DOUBLE")))</f>
        <v>DOUBLE</v>
      </c>
    </row>
    <row r="27" spans="1:13" x14ac:dyDescent="0.25">
      <c r="A27">
        <v>187.03</v>
      </c>
      <c r="B27">
        <v>161.87</v>
      </c>
      <c r="C27">
        <v>3.7468402394393441</v>
      </c>
      <c r="D27" t="s">
        <v>39</v>
      </c>
      <c r="E27" s="13">
        <f>SQRT((MAIN!$G$2-A27)^2+(MAIN!$I$2-B27)^2)</f>
        <v>82.171271135354843</v>
      </c>
      <c r="F27" t="s">
        <v>41</v>
      </c>
      <c r="G27" s="13">
        <f>MIN(MAIN!$R$2,E27/MAIN!$L$2)</f>
        <v>2</v>
      </c>
      <c r="H27" s="12">
        <f>(MAX(0,E27-(MAIN!$U$2)))/MAIN!$O$2</f>
        <v>8.3964088919193554</v>
      </c>
      <c r="J27" s="12">
        <f t="shared" si="0"/>
        <v>10.396408891919355</v>
      </c>
      <c r="K27" t="s">
        <v>39</v>
      </c>
      <c r="L27" s="14">
        <f>IF(J27&lt;=C27,MAIN!$L$7,IF(AND(J27&gt;C27,J27&lt;=C27+MAIN!$H$7),MAIN!$M$7,MAIN!$N$7))</f>
        <v>-1.2170000000000001</v>
      </c>
      <c r="M27" t="str">
        <f>IF(L27=MAIN!$L$7,"OUT",IF(L27=MAIN!$M$7,"SINGLE",IF(L27=MAIN!$N$7,"DOUBLE")))</f>
        <v>DOUBLE</v>
      </c>
    </row>
    <row r="28" spans="1:13" x14ac:dyDescent="0.25">
      <c r="A28">
        <v>97.39</v>
      </c>
      <c r="B28">
        <v>161.35</v>
      </c>
      <c r="C28">
        <v>1.6953270654117694</v>
      </c>
      <c r="D28" t="s">
        <v>39</v>
      </c>
      <c r="E28" s="13">
        <f>SQRT((MAIN!$G$2-A28)^2+(MAIN!$I$2-B28)^2)</f>
        <v>115.9406511970672</v>
      </c>
      <c r="F28" t="s">
        <v>41</v>
      </c>
      <c r="G28" s="13">
        <f>MIN(MAIN!$R$2,E28/MAIN!$L$2)</f>
        <v>2</v>
      </c>
      <c r="H28" s="12">
        <f>(MAX(0,E28-(MAIN!$U$2)))/MAIN!$O$2</f>
        <v>12.6175813996334</v>
      </c>
      <c r="J28" s="12">
        <f t="shared" si="0"/>
        <v>14.6175813996334</v>
      </c>
      <c r="K28" t="s">
        <v>39</v>
      </c>
      <c r="L28" s="14">
        <f>IF(J28&lt;=C28,MAIN!$L$7,IF(AND(J28&gt;C28,J28&lt;=C28+MAIN!$H$7),MAIN!$M$7,MAIN!$N$7))</f>
        <v>-1.2170000000000001</v>
      </c>
      <c r="M28" t="str">
        <f>IF(L28=MAIN!$L$7,"OUT",IF(L28=MAIN!$M$7,"SINGLE",IF(L28=MAIN!$N$7,"DOUBLE")))</f>
        <v>DOUBLE</v>
      </c>
    </row>
    <row r="29" spans="1:13" x14ac:dyDescent="0.25">
      <c r="A29">
        <v>97.12</v>
      </c>
      <c r="B29">
        <v>160.75</v>
      </c>
      <c r="C29">
        <v>1.4372852507711116</v>
      </c>
      <c r="D29" t="s">
        <v>39</v>
      </c>
      <c r="E29" s="13">
        <f>SQRT((MAIN!$G$2-A29)^2+(MAIN!$I$2-B29)^2)</f>
        <v>115.71368501607749</v>
      </c>
      <c r="F29" t="s">
        <v>41</v>
      </c>
      <c r="G29" s="13">
        <f>MIN(MAIN!$R$2,E29/MAIN!$L$2)</f>
        <v>2</v>
      </c>
      <c r="H29" s="12">
        <f>(MAX(0,E29-(MAIN!$U$2)))/MAIN!$O$2</f>
        <v>12.589210627009686</v>
      </c>
      <c r="J29" s="12">
        <f t="shared" si="0"/>
        <v>14.589210627009686</v>
      </c>
      <c r="K29" t="s">
        <v>39</v>
      </c>
      <c r="L29" s="14">
        <f>IF(J29&lt;=C29,MAIN!$L$7,IF(AND(J29&gt;C29,J29&lt;=C29+MAIN!$H$7),MAIN!$M$7,MAIN!$N$7))</f>
        <v>-1.2170000000000001</v>
      </c>
      <c r="M29" t="str">
        <f>IF(L29=MAIN!$L$7,"OUT",IF(L29=MAIN!$M$7,"SINGLE",IF(L29=MAIN!$N$7,"DOUBLE")))</f>
        <v>DOUBLE</v>
      </c>
    </row>
    <row r="30" spans="1:13" x14ac:dyDescent="0.25">
      <c r="A30">
        <v>135.13</v>
      </c>
      <c r="B30">
        <v>154.71</v>
      </c>
      <c r="C30">
        <v>2.0846599125925342</v>
      </c>
      <c r="D30" t="s">
        <v>39</v>
      </c>
      <c r="E30" s="13">
        <f>SQRT((MAIN!$G$2-A30)^2+(MAIN!$I$2-B30)^2)</f>
        <v>87.148729193259044</v>
      </c>
      <c r="F30" t="s">
        <v>41</v>
      </c>
      <c r="G30" s="13">
        <f>MIN(MAIN!$R$2,E30/MAIN!$L$2)</f>
        <v>2</v>
      </c>
      <c r="H30" s="12">
        <f>(MAX(0,E30-(MAIN!$U$2)))/MAIN!$O$2</f>
        <v>9.0185911491573805</v>
      </c>
      <c r="J30" s="12">
        <f t="shared" si="0"/>
        <v>11.01859114915738</v>
      </c>
      <c r="K30" t="s">
        <v>39</v>
      </c>
      <c r="L30" s="14">
        <f>IF(J30&lt;=C30,MAIN!$L$7,IF(AND(J30&gt;C30,J30&lt;=C30+MAIN!$H$7),MAIN!$M$7,MAIN!$N$7))</f>
        <v>-1.2170000000000001</v>
      </c>
      <c r="M30" t="str">
        <f>IF(L30=MAIN!$L$7,"OUT",IF(L30=MAIN!$M$7,"SINGLE",IF(L30=MAIN!$N$7,"DOUBLE")))</f>
        <v>DOUBLE</v>
      </c>
    </row>
    <row r="31" spans="1:13" x14ac:dyDescent="0.25">
      <c r="A31">
        <v>172.53</v>
      </c>
      <c r="B31">
        <v>153.43</v>
      </c>
      <c r="C31">
        <v>1.831276335614898</v>
      </c>
      <c r="D31" t="s">
        <v>39</v>
      </c>
      <c r="E31" s="13">
        <f>SQRT((MAIN!$G$2-A31)^2+(MAIN!$I$2-B31)^2)</f>
        <v>73.808981838255974</v>
      </c>
      <c r="F31" t="s">
        <v>41</v>
      </c>
      <c r="G31" s="13">
        <f>MIN(MAIN!$R$2,E31/MAIN!$L$2)</f>
        <v>2</v>
      </c>
      <c r="H31" s="12">
        <f>(MAX(0,E31-(MAIN!$U$2)))/MAIN!$O$2</f>
        <v>7.3511227297819968</v>
      </c>
      <c r="J31" s="12">
        <f t="shared" si="0"/>
        <v>9.3511227297819968</v>
      </c>
      <c r="K31" t="s">
        <v>39</v>
      </c>
      <c r="L31" s="14">
        <f>IF(J31&lt;=C31,MAIN!$L$7,IF(AND(J31&gt;C31,J31&lt;=C31+MAIN!$H$7),MAIN!$M$7,MAIN!$N$7))</f>
        <v>-1.2170000000000001</v>
      </c>
      <c r="M31" t="str">
        <f>IF(L31=MAIN!$L$7,"OUT",IF(L31=MAIN!$M$7,"SINGLE",IF(L31=MAIN!$N$7,"DOUBLE")))</f>
        <v>DOUBLE</v>
      </c>
    </row>
    <row r="32" spans="1:13" x14ac:dyDescent="0.25">
      <c r="A32">
        <v>83.18</v>
      </c>
      <c r="B32">
        <v>147.69999999999999</v>
      </c>
      <c r="C32">
        <v>2.2988226628881212</v>
      </c>
      <c r="D32" t="s">
        <v>39</v>
      </c>
      <c r="E32" s="13">
        <f>SQRT((MAIN!$G$2-A32)^2+(MAIN!$I$2-B32)^2)</f>
        <v>118.14145081215143</v>
      </c>
      <c r="F32" t="s">
        <v>41</v>
      </c>
      <c r="G32" s="13">
        <f>MIN(MAIN!$R$2,E32/MAIN!$L$2)</f>
        <v>2</v>
      </c>
      <c r="H32" s="12">
        <f>(MAX(0,E32-(MAIN!$U$2)))/MAIN!$O$2</f>
        <v>12.892681351518929</v>
      </c>
      <c r="J32" s="12">
        <f t="shared" si="0"/>
        <v>14.892681351518929</v>
      </c>
      <c r="K32" t="s">
        <v>39</v>
      </c>
      <c r="L32" s="14">
        <f>IF(J32&lt;=C32,MAIN!$L$7,IF(AND(J32&gt;C32,J32&lt;=C32+MAIN!$H$7),MAIN!$M$7,MAIN!$N$7))</f>
        <v>-1.2170000000000001</v>
      </c>
      <c r="M32" t="str">
        <f>IF(L32=MAIN!$L$7,"OUT",IF(L32=MAIN!$M$7,"SINGLE",IF(L32=MAIN!$N$7,"DOUBLE")))</f>
        <v>DOUBLE</v>
      </c>
    </row>
    <row r="33" spans="1:13" x14ac:dyDescent="0.25">
      <c r="A33">
        <v>88.48</v>
      </c>
      <c r="B33">
        <v>147.13999999999999</v>
      </c>
      <c r="C33">
        <v>3.7468402394393441</v>
      </c>
      <c r="D33" t="s">
        <v>39</v>
      </c>
      <c r="E33" s="13">
        <f>SQRT((MAIN!$G$2-A33)^2+(MAIN!$I$2-B33)^2)</f>
        <v>113.50634343506972</v>
      </c>
      <c r="F33" t="s">
        <v>41</v>
      </c>
      <c r="G33" s="13">
        <f>MIN(MAIN!$R$2,E33/MAIN!$L$2)</f>
        <v>2</v>
      </c>
      <c r="H33" s="12">
        <f>(MAX(0,E33-(MAIN!$U$2)))/MAIN!$O$2</f>
        <v>12.313292929383715</v>
      </c>
      <c r="J33" s="12">
        <f t="shared" si="0"/>
        <v>14.313292929383715</v>
      </c>
      <c r="K33" t="s">
        <v>39</v>
      </c>
      <c r="L33" s="14">
        <f>IF(J33&lt;=C33,MAIN!$L$7,IF(AND(J33&gt;C33,J33&lt;=C33+MAIN!$H$7),MAIN!$M$7,MAIN!$N$7))</f>
        <v>-1.2170000000000001</v>
      </c>
      <c r="M33" t="str">
        <f>IF(L33=MAIN!$L$7,"OUT",IF(L33=MAIN!$M$7,"SINGLE",IF(L33=MAIN!$N$7,"DOUBLE")))</f>
        <v>DOUBLE</v>
      </c>
    </row>
    <row r="34" spans="1:13" x14ac:dyDescent="0.25">
      <c r="A34">
        <v>87.97</v>
      </c>
      <c r="B34">
        <v>145.62</v>
      </c>
      <c r="C34">
        <v>3.7468402394393441</v>
      </c>
      <c r="D34" t="s">
        <v>39</v>
      </c>
      <c r="E34" s="13">
        <f>SQRT((MAIN!$G$2-A34)^2+(MAIN!$I$2-B34)^2)</f>
        <v>113.02878084806542</v>
      </c>
      <c r="F34" t="s">
        <v>41</v>
      </c>
      <c r="G34" s="13">
        <f>MIN(MAIN!$R$2,E34/MAIN!$L$2)</f>
        <v>2</v>
      </c>
      <c r="H34" s="12">
        <f>(MAX(0,E34-(MAIN!$U$2)))/MAIN!$O$2</f>
        <v>12.253597606008178</v>
      </c>
      <c r="J34" s="12">
        <f t="shared" si="0"/>
        <v>14.253597606008178</v>
      </c>
      <c r="K34" t="s">
        <v>39</v>
      </c>
      <c r="L34" s="14">
        <f>IF(J34&lt;=C34,MAIN!$L$7,IF(AND(J34&gt;C34,J34&lt;=C34+MAIN!$H$7),MAIN!$M$7,MAIN!$N$7))</f>
        <v>-1.2170000000000001</v>
      </c>
      <c r="M34" t="str">
        <f>IF(L34=MAIN!$L$7,"OUT",IF(L34=MAIN!$M$7,"SINGLE",IF(L34=MAIN!$N$7,"DOUBLE")))</f>
        <v>DOUBLE</v>
      </c>
    </row>
    <row r="35" spans="1:13" x14ac:dyDescent="0.25">
      <c r="A35">
        <v>170.79</v>
      </c>
      <c r="B35">
        <v>145.18</v>
      </c>
      <c r="C35">
        <v>3.1681333599200996</v>
      </c>
      <c r="D35" t="s">
        <v>39</v>
      </c>
      <c r="E35" s="13">
        <f>SQRT((MAIN!$G$2-A35)^2+(MAIN!$I$2-B35)^2)</f>
        <v>65.827475266791154</v>
      </c>
      <c r="F35" t="s">
        <v>41</v>
      </c>
      <c r="G35" s="13">
        <f>MIN(MAIN!$R$2,E35/MAIN!$L$2)</f>
        <v>2</v>
      </c>
      <c r="H35" s="12">
        <f>(MAX(0,E35-(MAIN!$U$2)))/MAIN!$O$2</f>
        <v>6.3534344083488943</v>
      </c>
      <c r="J35" s="12">
        <f t="shared" si="0"/>
        <v>8.3534344083488943</v>
      </c>
      <c r="K35" t="s">
        <v>39</v>
      </c>
      <c r="L35" s="14">
        <f>IF(J35&lt;=C35,MAIN!$L$7,IF(AND(J35&gt;C35,J35&lt;=C35+MAIN!$H$7),MAIN!$M$7,MAIN!$N$7))</f>
        <v>-1.2170000000000001</v>
      </c>
      <c r="M35" t="str">
        <f>IF(L35=MAIN!$L$7,"OUT",IF(L35=MAIN!$M$7,"SINGLE",IF(L35=MAIN!$N$7,"DOUBLE")))</f>
        <v>DOUBLE</v>
      </c>
    </row>
    <row r="36" spans="1:13" x14ac:dyDescent="0.25">
      <c r="A36">
        <v>96.95</v>
      </c>
      <c r="B36">
        <v>144.54</v>
      </c>
      <c r="C36">
        <v>2.9798435553187135</v>
      </c>
      <c r="D36" t="s">
        <v>39</v>
      </c>
      <c r="E36" s="13">
        <f>SQRT((MAIN!$G$2-A36)^2+(MAIN!$I$2-B36)^2)</f>
        <v>105.17943762922484</v>
      </c>
      <c r="F36" t="s">
        <v>41</v>
      </c>
      <c r="G36" s="13">
        <f>MIN(MAIN!$R$2,E36/MAIN!$L$2)</f>
        <v>2</v>
      </c>
      <c r="H36" s="12">
        <f>(MAX(0,E36-(MAIN!$U$2)))/MAIN!$O$2</f>
        <v>11.272429703653104</v>
      </c>
      <c r="J36" s="12">
        <f t="shared" si="0"/>
        <v>13.272429703653104</v>
      </c>
      <c r="K36" t="s">
        <v>39</v>
      </c>
      <c r="L36" s="14">
        <f>IF(J36&lt;=C36,MAIN!$L$7,IF(AND(J36&gt;C36,J36&lt;=C36+MAIN!$H$7),MAIN!$M$7,MAIN!$N$7))</f>
        <v>-1.2170000000000001</v>
      </c>
      <c r="M36" t="str">
        <f>IF(L36=MAIN!$L$7,"OUT",IF(L36=MAIN!$M$7,"SINGLE",IF(L36=MAIN!$N$7,"DOUBLE")))</f>
        <v>DOUBLE</v>
      </c>
    </row>
    <row r="37" spans="1:13" x14ac:dyDescent="0.25">
      <c r="A37">
        <v>131.91</v>
      </c>
      <c r="B37">
        <v>141.55000000000001</v>
      </c>
      <c r="C37">
        <v>3.3611829595855411</v>
      </c>
      <c r="D37" t="s">
        <v>39</v>
      </c>
      <c r="E37" s="13">
        <f>SQRT((MAIN!$G$2-A37)^2+(MAIN!$I$2-B37)^2)</f>
        <v>78.109222246800044</v>
      </c>
      <c r="F37" t="s">
        <v>41</v>
      </c>
      <c r="G37" s="13">
        <f>MIN(MAIN!$R$2,E37/MAIN!$L$2)</f>
        <v>2</v>
      </c>
      <c r="H37" s="12">
        <f>(MAX(0,E37-(MAIN!$U$2)))/MAIN!$O$2</f>
        <v>7.8886527808500055</v>
      </c>
      <c r="J37" s="12">
        <f t="shared" ref="J37:J55" si="1">G37+H37</f>
        <v>9.8886527808500055</v>
      </c>
      <c r="K37" t="s">
        <v>39</v>
      </c>
      <c r="L37" s="14">
        <f>IF(J37&lt;=C37,MAIN!$L$7,IF(AND(J37&gt;C37,J37&lt;=C37+MAIN!$H$7),MAIN!$M$7,MAIN!$N$7))</f>
        <v>-1.2170000000000001</v>
      </c>
      <c r="M37" t="str">
        <f>IF(L37=MAIN!$L$7,"OUT",IF(L37=MAIN!$M$7,"SINGLE",IF(L37=MAIN!$N$7,"DOUBLE")))</f>
        <v>DOUBLE</v>
      </c>
    </row>
    <row r="38" spans="1:13" x14ac:dyDescent="0.25">
      <c r="A38">
        <v>181.44</v>
      </c>
      <c r="B38">
        <v>141.55000000000001</v>
      </c>
      <c r="C38">
        <v>4.5373992720422907</v>
      </c>
      <c r="D38" t="s">
        <v>39</v>
      </c>
      <c r="E38" s="13">
        <f>SQRT((MAIN!$G$2-A38)^2+(MAIN!$I$2-B38)^2)</f>
        <v>61.566842537196933</v>
      </c>
      <c r="F38" t="s">
        <v>41</v>
      </c>
      <c r="G38" s="13">
        <f>MIN(MAIN!$R$2,E38/MAIN!$L$2)</f>
        <v>2</v>
      </c>
      <c r="H38" s="12">
        <f>(MAX(0,E38-(MAIN!$U$2)))/MAIN!$O$2</f>
        <v>5.8208553171496167</v>
      </c>
      <c r="J38" s="12">
        <f t="shared" si="1"/>
        <v>7.8208553171496167</v>
      </c>
      <c r="K38" t="s">
        <v>39</v>
      </c>
      <c r="L38" s="14">
        <f>IF(J38&lt;=C38,MAIN!$L$7,IF(AND(J38&gt;C38,J38&lt;=C38+MAIN!$H$7),MAIN!$M$7,MAIN!$N$7))</f>
        <v>-1.2170000000000001</v>
      </c>
      <c r="M38" t="str">
        <f>IF(L38=MAIN!$L$7,"OUT",IF(L38=MAIN!$M$7,"SINGLE",IF(L38=MAIN!$N$7,"DOUBLE")))</f>
        <v>DOUBLE</v>
      </c>
    </row>
    <row r="39" spans="1:13" x14ac:dyDescent="0.25">
      <c r="A39">
        <v>147.41</v>
      </c>
      <c r="B39">
        <v>139.52000000000001</v>
      </c>
      <c r="C39">
        <v>4.7656296217282854</v>
      </c>
      <c r="D39" t="s">
        <v>39</v>
      </c>
      <c r="E39" s="13">
        <f>SQRT((MAIN!$G$2-A39)^2+(MAIN!$I$2-B39)^2)</f>
        <v>67.858223525229434</v>
      </c>
      <c r="F39" t="s">
        <v>41</v>
      </c>
      <c r="G39" s="13">
        <f>MIN(MAIN!$R$2,E39/MAIN!$L$2)</f>
        <v>2</v>
      </c>
      <c r="H39" s="12">
        <f>(MAX(0,E39-(MAIN!$U$2)))/MAIN!$O$2</f>
        <v>6.6072779406536792</v>
      </c>
      <c r="J39" s="12">
        <f t="shared" si="1"/>
        <v>8.6072779406536792</v>
      </c>
      <c r="K39" t="s">
        <v>39</v>
      </c>
      <c r="L39" s="14">
        <f>IF(J39&lt;=C39,MAIN!$L$7,IF(AND(J39&gt;C39,J39&lt;=C39+MAIN!$H$7),MAIN!$M$7,MAIN!$N$7))</f>
        <v>-1.2170000000000001</v>
      </c>
      <c r="M39" t="str">
        <f>IF(L39=MAIN!$L$7,"OUT",IF(L39=MAIN!$M$7,"SINGLE",IF(L39=MAIN!$N$7,"DOUBLE")))</f>
        <v>DOUBLE</v>
      </c>
    </row>
    <row r="40" spans="1:13" x14ac:dyDescent="0.25">
      <c r="A40">
        <v>127.32</v>
      </c>
      <c r="B40">
        <v>139.21</v>
      </c>
      <c r="C40">
        <v>3.1680645250646662</v>
      </c>
      <c r="D40" t="s">
        <v>39</v>
      </c>
      <c r="E40" s="13">
        <f>SQRT((MAIN!$G$2-A40)^2+(MAIN!$I$2-B40)^2)</f>
        <v>79.252801212323092</v>
      </c>
      <c r="F40" t="s">
        <v>41</v>
      </c>
      <c r="G40" s="13">
        <f>MIN(MAIN!$R$2,E40/MAIN!$L$2)</f>
        <v>2</v>
      </c>
      <c r="H40" s="12">
        <f>(MAX(0,E40-(MAIN!$U$2)))/MAIN!$O$2</f>
        <v>8.0316001515403865</v>
      </c>
      <c r="J40" s="12">
        <f t="shared" si="1"/>
        <v>10.031600151540387</v>
      </c>
      <c r="K40" t="s">
        <v>39</v>
      </c>
      <c r="L40" s="14">
        <f>IF(J40&lt;=C40,MAIN!$L$7,IF(AND(J40&gt;C40,J40&lt;=C40+MAIN!$H$7),MAIN!$M$7,MAIN!$N$7))</f>
        <v>-1.2170000000000001</v>
      </c>
      <c r="M40" t="str">
        <f>IF(L40=MAIN!$L$7,"OUT",IF(L40=MAIN!$M$7,"SINGLE",IF(L40=MAIN!$N$7,"DOUBLE")))</f>
        <v>DOUBLE</v>
      </c>
    </row>
    <row r="41" spans="1:13" x14ac:dyDescent="0.25">
      <c r="A41">
        <v>114.28</v>
      </c>
      <c r="B41">
        <v>139.06</v>
      </c>
      <c r="C41">
        <v>1.7107809476546807</v>
      </c>
      <c r="D41" t="s">
        <v>39</v>
      </c>
      <c r="E41" s="13">
        <f>SQRT((MAIN!$G$2-A41)^2+(MAIN!$I$2-B41)^2)</f>
        <v>88.358372551784825</v>
      </c>
      <c r="F41" t="s">
        <v>41</v>
      </c>
      <c r="G41" s="13">
        <f>MIN(MAIN!$R$2,E41/MAIN!$L$2)</f>
        <v>2</v>
      </c>
      <c r="H41" s="12">
        <f>(MAX(0,E41-(MAIN!$U$2)))/MAIN!$O$2</f>
        <v>9.1697965689731031</v>
      </c>
      <c r="J41" s="12">
        <f t="shared" si="1"/>
        <v>11.169796568973103</v>
      </c>
      <c r="K41" t="s">
        <v>39</v>
      </c>
      <c r="L41" s="14">
        <f>IF(J41&lt;=C41,MAIN!$L$7,IF(AND(J41&gt;C41,J41&lt;=C41+MAIN!$H$7),MAIN!$M$7,MAIN!$N$7))</f>
        <v>-1.2170000000000001</v>
      </c>
      <c r="M41" t="str">
        <f>IF(L41=MAIN!$L$7,"OUT",IF(L41=MAIN!$M$7,"SINGLE",IF(L41=MAIN!$N$7,"DOUBLE")))</f>
        <v>DOUBLE</v>
      </c>
    </row>
    <row r="42" spans="1:13" x14ac:dyDescent="0.25">
      <c r="A42">
        <v>154.52000000000001</v>
      </c>
      <c r="B42">
        <v>139.01</v>
      </c>
      <c r="C42">
        <v>3.7468402394393441</v>
      </c>
      <c r="D42" t="s">
        <v>39</v>
      </c>
      <c r="E42" s="13">
        <f>SQRT((MAIN!$G$2-A42)^2+(MAIN!$I$2-B42)^2)</f>
        <v>64.276049194081608</v>
      </c>
      <c r="F42" t="s">
        <v>41</v>
      </c>
      <c r="G42" s="13">
        <f>MIN(MAIN!$R$2,E42/MAIN!$L$2)</f>
        <v>2</v>
      </c>
      <c r="H42" s="12">
        <f>(MAX(0,E42-(MAIN!$U$2)))/MAIN!$O$2</f>
        <v>6.159506149260201</v>
      </c>
      <c r="J42" s="12">
        <f t="shared" si="1"/>
        <v>8.159506149260201</v>
      </c>
      <c r="K42" t="s">
        <v>39</v>
      </c>
      <c r="L42" s="14">
        <f>IF(J42&lt;=C42,MAIN!$L$7,IF(AND(J42&gt;C42,J42&lt;=C42+MAIN!$H$7),MAIN!$M$7,MAIN!$N$7))</f>
        <v>-1.2170000000000001</v>
      </c>
      <c r="M42" t="str">
        <f>IF(L42=MAIN!$L$7,"OUT",IF(L42=MAIN!$M$7,"SINGLE",IF(L42=MAIN!$N$7,"DOUBLE")))</f>
        <v>DOUBLE</v>
      </c>
    </row>
    <row r="43" spans="1:13" x14ac:dyDescent="0.25">
      <c r="A43">
        <v>169.76</v>
      </c>
      <c r="B43">
        <v>138</v>
      </c>
      <c r="C43">
        <v>3.4613519041501277</v>
      </c>
      <c r="D43" t="s">
        <v>39</v>
      </c>
      <c r="E43" s="13">
        <f>SQRT((MAIN!$G$2-A43)^2+(MAIN!$I$2-B43)^2)</f>
        <v>58.897008412991575</v>
      </c>
      <c r="F43" t="s">
        <v>41</v>
      </c>
      <c r="G43" s="13">
        <f>MIN(MAIN!$R$2,E43/MAIN!$L$2)</f>
        <v>2</v>
      </c>
      <c r="H43" s="12">
        <f>(MAX(0,E43-(MAIN!$U$2)))/MAIN!$O$2</f>
        <v>5.4871260516239468</v>
      </c>
      <c r="J43" s="12">
        <f t="shared" si="1"/>
        <v>7.4871260516239468</v>
      </c>
      <c r="K43" t="s">
        <v>39</v>
      </c>
      <c r="L43" s="14">
        <f>IF(J43&lt;=C43,MAIN!$L$7,IF(AND(J43&gt;C43,J43&lt;=C43+MAIN!$H$7),MAIN!$M$7,MAIN!$N$7))</f>
        <v>-1.2170000000000001</v>
      </c>
      <c r="M43" t="str">
        <f>IF(L43=MAIN!$L$7,"OUT",IF(L43=MAIN!$M$7,"SINGLE",IF(L43=MAIN!$N$7,"DOUBLE")))</f>
        <v>DOUBLE</v>
      </c>
    </row>
    <row r="44" spans="1:13" x14ac:dyDescent="0.25">
      <c r="A44">
        <v>81.069999999999993</v>
      </c>
      <c r="B44">
        <v>136.03</v>
      </c>
      <c r="C44">
        <v>3.1680029723010135</v>
      </c>
      <c r="D44" t="s">
        <v>39</v>
      </c>
      <c r="E44" s="13">
        <f>SQRT((MAIN!$G$2-A44)^2+(MAIN!$I$2-B44)^2)</f>
        <v>113.69479231697466</v>
      </c>
      <c r="F44" t="s">
        <v>41</v>
      </c>
      <c r="G44" s="13">
        <f>MIN(MAIN!$R$2,E44/MAIN!$L$2)</f>
        <v>2</v>
      </c>
      <c r="H44" s="12">
        <f>(MAX(0,E44-(MAIN!$U$2)))/MAIN!$O$2</f>
        <v>12.336849039621832</v>
      </c>
      <c r="J44" s="12">
        <f t="shared" si="1"/>
        <v>14.336849039621832</v>
      </c>
      <c r="K44" t="s">
        <v>39</v>
      </c>
      <c r="L44" s="14">
        <f>IF(J44&lt;=C44,MAIN!$L$7,IF(AND(J44&gt;C44,J44&lt;=C44+MAIN!$H$7),MAIN!$M$7,MAIN!$N$7))</f>
        <v>-1.2170000000000001</v>
      </c>
      <c r="M44" t="str">
        <f>IF(L44=MAIN!$L$7,"OUT",IF(L44=MAIN!$M$7,"SINGLE",IF(L44=MAIN!$N$7,"DOUBLE")))</f>
        <v>DOUBLE</v>
      </c>
    </row>
    <row r="45" spans="1:13" x14ac:dyDescent="0.25">
      <c r="A45">
        <v>155.19999999999999</v>
      </c>
      <c r="B45">
        <v>134.81</v>
      </c>
      <c r="C45">
        <v>1.8729953096875678</v>
      </c>
      <c r="D45" t="s">
        <v>39</v>
      </c>
      <c r="E45" s="13">
        <f>SQRT((MAIN!$G$2-A45)^2+(MAIN!$I$2-B45)^2)</f>
        <v>60.159588595667778</v>
      </c>
      <c r="F45" t="s">
        <v>41</v>
      </c>
      <c r="G45" s="13">
        <f>MIN(MAIN!$R$2,E45/MAIN!$L$2)</f>
        <v>2</v>
      </c>
      <c r="H45" s="12">
        <f>(MAX(0,E45-(MAIN!$U$2)))/MAIN!$O$2</f>
        <v>5.6449485744584722</v>
      </c>
      <c r="J45" s="12">
        <f t="shared" si="1"/>
        <v>7.6449485744584722</v>
      </c>
      <c r="K45" t="s">
        <v>39</v>
      </c>
      <c r="L45" s="14">
        <f>IF(J45&lt;=C45,MAIN!$L$7,IF(AND(J45&gt;C45,J45&lt;=C45+MAIN!$H$7),MAIN!$M$7,MAIN!$N$7))</f>
        <v>-1.2170000000000001</v>
      </c>
      <c r="M45" t="str">
        <f>IF(L45=MAIN!$L$7,"OUT",IF(L45=MAIN!$M$7,"SINGLE",IF(L45=MAIN!$N$7,"DOUBLE")))</f>
        <v>DOUBLE</v>
      </c>
    </row>
    <row r="46" spans="1:13" x14ac:dyDescent="0.25">
      <c r="A46">
        <v>73.569999999999993</v>
      </c>
      <c r="B46">
        <v>134.16999999999999</v>
      </c>
      <c r="C46">
        <v>2.9925890365866357</v>
      </c>
      <c r="D46" t="s">
        <v>39</v>
      </c>
      <c r="E46" s="13">
        <f>SQRT((MAIN!$G$2-A46)^2+(MAIN!$I$2-B46)^2)</f>
        <v>119.42250122987711</v>
      </c>
      <c r="F46" t="s">
        <v>41</v>
      </c>
      <c r="G46" s="13">
        <f>MIN(MAIN!$R$2,E46/MAIN!$L$2)</f>
        <v>2</v>
      </c>
      <c r="H46" s="12">
        <f>(MAX(0,E46-(MAIN!$U$2)))/MAIN!$O$2</f>
        <v>13.052812653734639</v>
      </c>
      <c r="J46" s="12">
        <f t="shared" si="1"/>
        <v>15.052812653734639</v>
      </c>
      <c r="K46" t="s">
        <v>39</v>
      </c>
      <c r="L46" s="14">
        <f>IF(J46&lt;=C46,MAIN!$L$7,IF(AND(J46&gt;C46,J46&lt;=C46+MAIN!$H$7),MAIN!$M$7,MAIN!$N$7))</f>
        <v>-1.2170000000000001</v>
      </c>
      <c r="M46" t="str">
        <f>IF(L46=MAIN!$L$7,"OUT",IF(L46=MAIN!$M$7,"SINGLE",IF(L46=MAIN!$N$7,"DOUBLE")))</f>
        <v>DOUBLE</v>
      </c>
    </row>
    <row r="47" spans="1:13" x14ac:dyDescent="0.25">
      <c r="A47">
        <v>138.26</v>
      </c>
      <c r="B47">
        <v>133.93</v>
      </c>
      <c r="C47">
        <v>1.7452505010810311</v>
      </c>
      <c r="D47" t="s">
        <v>39</v>
      </c>
      <c r="E47" s="13">
        <f>SQRT((MAIN!$G$2-A47)^2+(MAIN!$I$2-B47)^2)</f>
        <v>68.195839315899633</v>
      </c>
      <c r="F47" t="s">
        <v>41</v>
      </c>
      <c r="G47" s="13">
        <f>MIN(MAIN!$R$2,E47/MAIN!$L$2)</f>
        <v>2</v>
      </c>
      <c r="H47" s="12">
        <f>(MAX(0,E47-(MAIN!$U$2)))/MAIN!$O$2</f>
        <v>6.6494799144874541</v>
      </c>
      <c r="J47" s="12">
        <f t="shared" si="1"/>
        <v>8.6494799144874541</v>
      </c>
      <c r="K47" t="s">
        <v>39</v>
      </c>
      <c r="L47" s="14">
        <f>IF(J47&lt;=C47,MAIN!$L$7,IF(AND(J47&gt;C47,J47&lt;=C47+MAIN!$H$7),MAIN!$M$7,MAIN!$N$7))</f>
        <v>-1.2170000000000001</v>
      </c>
      <c r="M47" t="str">
        <f>IF(L47=MAIN!$L$7,"OUT",IF(L47=MAIN!$M$7,"SINGLE",IF(L47=MAIN!$N$7,"DOUBLE")))</f>
        <v>DOUBLE</v>
      </c>
    </row>
    <row r="48" spans="1:13" x14ac:dyDescent="0.25">
      <c r="A48">
        <v>142.33000000000001</v>
      </c>
      <c r="B48">
        <v>133.43</v>
      </c>
      <c r="C48">
        <v>5.0152677444864304</v>
      </c>
      <c r="D48" t="s">
        <v>39</v>
      </c>
      <c r="E48" s="13">
        <f>SQRT((MAIN!$G$2-A48)^2+(MAIN!$I$2-B48)^2)</f>
        <v>65.374259460432896</v>
      </c>
      <c r="F48" t="s">
        <v>41</v>
      </c>
      <c r="G48" s="13">
        <f>MIN(MAIN!$R$2,E48/MAIN!$L$2)</f>
        <v>2</v>
      </c>
      <c r="H48" s="12">
        <f>(MAX(0,E48-(MAIN!$U$2)))/MAIN!$O$2</f>
        <v>6.296782432554112</v>
      </c>
      <c r="J48" s="12">
        <f t="shared" si="1"/>
        <v>8.296782432554112</v>
      </c>
      <c r="K48" t="s">
        <v>39</v>
      </c>
      <c r="L48" s="14">
        <f>IF(J48&lt;=C48,MAIN!$L$7,IF(AND(J48&gt;C48,J48&lt;=C48+MAIN!$H$7),MAIN!$M$7,MAIN!$N$7))</f>
        <v>-1.2170000000000001</v>
      </c>
      <c r="M48" t="str">
        <f>IF(L48=MAIN!$L$7,"OUT",IF(L48=MAIN!$M$7,"SINGLE",IF(L48=MAIN!$N$7,"DOUBLE")))</f>
        <v>DOUBLE</v>
      </c>
    </row>
    <row r="49" spans="1:32" x14ac:dyDescent="0.25">
      <c r="A49">
        <v>103.6</v>
      </c>
      <c r="B49">
        <v>132.55000000000001</v>
      </c>
      <c r="C49">
        <v>3.6984514408688467</v>
      </c>
      <c r="D49" t="s">
        <v>39</v>
      </c>
      <c r="E49" s="13">
        <f>SQRT((MAIN!$G$2-A49)^2+(MAIN!$I$2-B49)^2)</f>
        <v>92.727894939980175</v>
      </c>
      <c r="F49" t="s">
        <v>41</v>
      </c>
      <c r="G49" s="13">
        <f>MIN(MAIN!$R$2,E49/MAIN!$L$2)</f>
        <v>2</v>
      </c>
      <c r="H49" s="12">
        <f>(MAX(0,E49-(MAIN!$U$2)))/MAIN!$O$2</f>
        <v>9.7159868674975218</v>
      </c>
      <c r="J49" s="12">
        <f t="shared" si="1"/>
        <v>11.715986867497522</v>
      </c>
      <c r="K49" t="s">
        <v>39</v>
      </c>
      <c r="L49" s="14">
        <f>IF(J49&lt;=C49,MAIN!$L$7,IF(AND(J49&gt;C49,J49&lt;=C49+MAIN!$H$7),MAIN!$M$7,MAIN!$N$7))</f>
        <v>-1.2170000000000001</v>
      </c>
      <c r="M49" t="str">
        <f>IF(L49=MAIN!$L$7,"OUT",IF(L49=MAIN!$M$7,"SINGLE",IF(L49=MAIN!$N$7,"DOUBLE")))</f>
        <v>DOUBLE</v>
      </c>
    </row>
    <row r="50" spans="1:32" x14ac:dyDescent="0.25">
      <c r="A50">
        <v>87.22</v>
      </c>
      <c r="B50">
        <v>132.53</v>
      </c>
      <c r="C50">
        <v>3.2875610806354469</v>
      </c>
      <c r="D50" t="s">
        <v>39</v>
      </c>
      <c r="E50" s="13">
        <f>SQRT((MAIN!$G$2-A50)^2+(MAIN!$I$2-B50)^2)</f>
        <v>106.61861610431829</v>
      </c>
      <c r="F50" t="s">
        <v>41</v>
      </c>
      <c r="G50" s="13">
        <f>MIN(MAIN!$R$2,E50/MAIN!$L$2)</f>
        <v>2</v>
      </c>
      <c r="H50" s="12">
        <f>(MAX(0,E50-(MAIN!$U$2)))/MAIN!$O$2</f>
        <v>11.452327013039787</v>
      </c>
      <c r="J50" s="12">
        <f t="shared" si="1"/>
        <v>13.452327013039787</v>
      </c>
      <c r="K50" t="s">
        <v>39</v>
      </c>
      <c r="L50" s="14">
        <f>IF(J50&lt;=C50,MAIN!$L$7,IF(AND(J50&gt;C50,J50&lt;=C50+MAIN!$H$7),MAIN!$M$7,MAIN!$N$7))</f>
        <v>-1.2170000000000001</v>
      </c>
      <c r="M50" t="str">
        <f>IF(L50=MAIN!$L$7,"OUT",IF(L50=MAIN!$M$7,"SINGLE",IF(L50=MAIN!$N$7,"DOUBLE")))</f>
        <v>DOUBLE</v>
      </c>
    </row>
    <row r="51" spans="1:32" x14ac:dyDescent="0.25">
      <c r="A51">
        <v>125.64</v>
      </c>
      <c r="B51">
        <v>131.04</v>
      </c>
      <c r="C51">
        <v>3.1543247258743037</v>
      </c>
      <c r="D51" t="s">
        <v>39</v>
      </c>
      <c r="E51" s="13">
        <f>SQRT((MAIN!$G$2-A51)^2+(MAIN!$I$2-B51)^2)</f>
        <v>74.566019070351331</v>
      </c>
      <c r="F51" t="s">
        <v>41</v>
      </c>
      <c r="G51" s="13">
        <f>MIN(MAIN!$R$2,E51/MAIN!$L$2)</f>
        <v>2</v>
      </c>
      <c r="H51" s="12">
        <f>(MAX(0,E51-(MAIN!$U$2)))/MAIN!$O$2</f>
        <v>7.4457523837939164</v>
      </c>
      <c r="J51" s="12">
        <f t="shared" si="1"/>
        <v>9.4457523837939164</v>
      </c>
      <c r="K51" t="s">
        <v>39</v>
      </c>
      <c r="L51" s="14">
        <f>IF(J51&lt;=C51,MAIN!$L$7,IF(AND(J51&gt;C51,J51&lt;=C51+MAIN!$H$7),MAIN!$M$7,MAIN!$N$7))</f>
        <v>-1.2170000000000001</v>
      </c>
      <c r="M51" t="str">
        <f>IF(L51=MAIN!$L$7,"OUT",IF(L51=MAIN!$M$7,"SINGLE",IF(L51=MAIN!$N$7,"DOUBLE")))</f>
        <v>DOUBLE</v>
      </c>
    </row>
    <row r="52" spans="1:32" x14ac:dyDescent="0.25">
      <c r="A52">
        <v>142.34</v>
      </c>
      <c r="B52">
        <v>130.11000000000001</v>
      </c>
      <c r="C52">
        <v>4.5200699983186841</v>
      </c>
      <c r="D52" t="s">
        <v>39</v>
      </c>
      <c r="E52" s="13">
        <f>SQRT((MAIN!$G$2-A52)^2+(MAIN!$I$2-B52)^2)</f>
        <v>62.684030661724371</v>
      </c>
      <c r="F52" t="s">
        <v>41</v>
      </c>
      <c r="G52" s="13">
        <f>MIN(MAIN!$R$2,E52/MAIN!$L$2)</f>
        <v>2</v>
      </c>
      <c r="H52" s="12">
        <f>(MAX(0,E52-(MAIN!$U$2)))/MAIN!$O$2</f>
        <v>5.9605038327155464</v>
      </c>
      <c r="J52" s="12">
        <f t="shared" si="1"/>
        <v>7.9605038327155464</v>
      </c>
      <c r="K52" t="s">
        <v>39</v>
      </c>
      <c r="L52" s="14">
        <f>IF(J52&lt;=C52,MAIN!$L$7,IF(AND(J52&gt;C52,J52&lt;=C52+MAIN!$H$7),MAIN!$M$7,MAIN!$N$7))</f>
        <v>-1.2170000000000001</v>
      </c>
      <c r="M52" t="str">
        <f>IF(L52=MAIN!$L$7,"OUT",IF(L52=MAIN!$M$7,"SINGLE",IF(L52=MAIN!$N$7,"DOUBLE")))</f>
        <v>DOUBLE</v>
      </c>
    </row>
    <row r="53" spans="1:32" x14ac:dyDescent="0.25">
      <c r="A53">
        <v>177.38</v>
      </c>
      <c r="B53">
        <v>127.84</v>
      </c>
      <c r="C53">
        <v>6.9330677836737387</v>
      </c>
      <c r="D53" t="s">
        <v>39</v>
      </c>
      <c r="E53" s="13">
        <f>SQRT((MAIN!$G$2-A53)^2+(MAIN!$I$2-B53)^2)</f>
        <v>47.911689596590101</v>
      </c>
      <c r="F53" t="s">
        <v>41</v>
      </c>
      <c r="G53" s="13">
        <f>MIN(MAIN!$R$2,E53/MAIN!$L$2)</f>
        <v>2</v>
      </c>
      <c r="H53" s="12">
        <f>(MAX(0,E53-(MAIN!$U$2)))/MAIN!$O$2</f>
        <v>4.1139611995737626</v>
      </c>
      <c r="J53" s="12">
        <f t="shared" si="1"/>
        <v>6.1139611995737626</v>
      </c>
      <c r="K53" t="s">
        <v>39</v>
      </c>
      <c r="L53" s="14">
        <f>IF(J53&lt;=C53,MAIN!$L$7,IF(AND(J53&gt;C53,J53&lt;=C53+MAIN!$H$7),MAIN!$M$7,MAIN!$N$7))</f>
        <v>0.3</v>
      </c>
      <c r="M53" t="str">
        <f>IF(L53=MAIN!$L$7,"OUT",IF(L53=MAIN!$M$7,"SINGLE",IF(L53=MAIN!$N$7,"DOUBLE")))</f>
        <v>OUT</v>
      </c>
    </row>
    <row r="54" spans="1:32" x14ac:dyDescent="0.25">
      <c r="A54">
        <v>59.46</v>
      </c>
      <c r="B54">
        <v>125.26</v>
      </c>
      <c r="C54">
        <v>2.8426051589943389</v>
      </c>
      <c r="D54" t="s">
        <v>39</v>
      </c>
      <c r="E54" s="13">
        <f>SQRT((MAIN!$G$2-A54)^2+(MAIN!$I$2-B54)^2)</f>
        <v>128.75697728666978</v>
      </c>
      <c r="F54" t="s">
        <v>41</v>
      </c>
      <c r="G54" s="13">
        <f>MIN(MAIN!$R$2,E54/MAIN!$L$2)</f>
        <v>2</v>
      </c>
      <c r="H54" s="12">
        <f>(MAX(0,E54-(MAIN!$U$2)))/MAIN!$O$2</f>
        <v>14.219622160833723</v>
      </c>
      <c r="J54" s="12">
        <f t="shared" si="1"/>
        <v>16.219622160833723</v>
      </c>
      <c r="K54" t="s">
        <v>39</v>
      </c>
      <c r="L54" s="14">
        <f>IF(J54&lt;=C54,MAIN!$L$7,IF(AND(J54&gt;C54,J54&lt;=C54+MAIN!$H$7),MAIN!$M$7,MAIN!$N$7))</f>
        <v>-1.2170000000000001</v>
      </c>
      <c r="M54" t="str">
        <f>IF(L54=MAIN!$L$7,"OUT",IF(L54=MAIN!$M$7,"SINGLE",IF(L54=MAIN!$N$7,"DOUBLE")))</f>
        <v>DOUBLE</v>
      </c>
    </row>
    <row r="55" spans="1:32" x14ac:dyDescent="0.25">
      <c r="A55">
        <v>76.56</v>
      </c>
      <c r="B55">
        <v>124.95</v>
      </c>
      <c r="C55">
        <v>2.0760140030545426</v>
      </c>
      <c r="D55" t="s">
        <v>39</v>
      </c>
      <c r="E55" s="13">
        <f>SQRT((MAIN!$G$2-A55)^2+(MAIN!$I$2-B55)^2)</f>
        <v>112.78446745895465</v>
      </c>
      <c r="F55" t="s">
        <v>41</v>
      </c>
      <c r="G55" s="13">
        <f>MIN(MAIN!$R$2,E55/MAIN!$L$2)</f>
        <v>2</v>
      </c>
      <c r="H55" s="12">
        <f>(MAX(0,E55-(MAIN!$U$2)))/MAIN!$O$2</f>
        <v>12.223058432369331</v>
      </c>
      <c r="J55" s="12">
        <f t="shared" si="1"/>
        <v>14.223058432369331</v>
      </c>
      <c r="K55" t="s">
        <v>39</v>
      </c>
      <c r="L55" s="14">
        <f>IF(J55&lt;=C55,MAIN!$L$7,IF(AND(J55&gt;C55,J55&lt;=C55+MAIN!$H$7),MAIN!$M$7,MAIN!$N$7))</f>
        <v>-1.2170000000000001</v>
      </c>
      <c r="M55" t="str">
        <f>IF(L55=MAIN!$L$7,"OUT",IF(L55=MAIN!$M$7,"SINGLE",IF(L55=MAIN!$N$7,"DOUBLE")))</f>
        <v>DOUBLE</v>
      </c>
    </row>
    <row r="57" spans="1:32" x14ac:dyDescent="0.25">
      <c r="A57">
        <v>61.36</v>
      </c>
      <c r="B57">
        <v>123.33</v>
      </c>
      <c r="C57">
        <v>2.4215257565256634</v>
      </c>
      <c r="D57" t="s">
        <v>39</v>
      </c>
      <c r="E57" s="13">
        <f>SQRT((MAIN!$G$2-A57)^2+(MAIN!$I$2-B57)^2)</f>
        <v>126.30494250028381</v>
      </c>
      <c r="F57" t="s">
        <v>49</v>
      </c>
      <c r="G57" s="13">
        <f>MIN(MAIN!$R$2,E57/MAIN!$L$2)</f>
        <v>2</v>
      </c>
      <c r="H57" s="12">
        <f>(MAX(0,E57-(MAIN!$U$2)))/MAIN!$O$2</f>
        <v>13.913117812535477</v>
      </c>
      <c r="J57" s="12">
        <f t="shared" ref="J57:J81" si="2">G57+H57</f>
        <v>15.913117812535477</v>
      </c>
      <c r="K57" t="s">
        <v>39</v>
      </c>
      <c r="L57" s="13">
        <f>SQRT((MAIN!$G$3-A57)^2+(MAIN!$I$3-B57)^2)</f>
        <v>76.909937589364873</v>
      </c>
      <c r="M57" t="s">
        <v>49</v>
      </c>
      <c r="N57" s="13">
        <f>MIN(MAIN!$R$3,L57/MAIN!$L$3)</f>
        <v>2</v>
      </c>
      <c r="O57" s="12">
        <f>(MAX(0,L57-(MAIN!$U$3)))/MAIN!$O$3</f>
        <v>6.2909937589364873</v>
      </c>
      <c r="Q57" s="19">
        <f t="shared" ref="Q57:Q81" si="3">N57+O57</f>
        <v>8.2909937589364873</v>
      </c>
      <c r="R57" t="s">
        <v>39</v>
      </c>
      <c r="S57" s="13">
        <f>SQRT((MAIN!$G$4-A57)^2+(MAIN!$I$4-B57)^2)</f>
        <v>25.948766830044157</v>
      </c>
      <c r="T57" t="s">
        <v>49</v>
      </c>
      <c r="U57" s="13">
        <f>MIN(MAIN!$R$4,S57/MAIN!$L$4)</f>
        <v>2</v>
      </c>
      <c r="V57" s="12">
        <f>(MAX(0,S57-(MAIN!$U$4)))/MAIN!$O$4</f>
        <v>1.3685958537555196</v>
      </c>
      <c r="X57" s="19">
        <f t="shared" ref="X57:X81" si="4">U57+V57</f>
        <v>3.3685958537555196</v>
      </c>
      <c r="Y57" t="s">
        <v>39</v>
      </c>
      <c r="Z57" s="14">
        <f>IF(J57&lt;=C57,MAIN!$L$7,IF(AND(J57&gt;C57,J57&lt;=C57+MAIN!$H$7),MAIN!$M$7,MAIN!$N$7))</f>
        <v>-1.2170000000000001</v>
      </c>
      <c r="AA57" t="str">
        <f>IF(Z57=MAIN!$L$7,"OUT",IF(Z57=MAIN!$M$7,"SINGLE",IF(Z57=MAIN!$N$7,"DOUBLE")))</f>
        <v>DOUBLE</v>
      </c>
      <c r="AB57" s="14">
        <f>IF(Q57&lt;=C57,MAIN!$L$7,IF(AND(Q57&gt;C57,Q57&lt;=C57+MAIN!$H$7),MAIN!$M$7,MAIN!$N$7))</f>
        <v>-1.2170000000000001</v>
      </c>
      <c r="AC57" t="str">
        <f>IF(AB57=MAIN!$L$7,"OUT",IF(AB57=MAIN!$M$7,"SINGLE",IF(AB57=MAIN!$N$7,"DOUBLE")))</f>
        <v>DOUBLE</v>
      </c>
      <c r="AD57" s="14">
        <f>IF(X57&lt;=C57,MAIN!$L$7,IF(AND(X57&gt;C57,X57&lt;=C57+MAIN!$H$7),MAIN!$M$7,MAIN!$N$7))</f>
        <v>-0.87</v>
      </c>
      <c r="AE57" t="str">
        <f>IF(AD57=MAIN!$L$7,"OUT",IF(AD57=MAIN!$M$7,"SINGLE",IF(AD57=MAIN!$N$7,"DOUBLE")))</f>
        <v>SINGLE</v>
      </c>
      <c r="AF57" s="18">
        <f t="shared" ref="AF57:AF81" si="5">MAX(Z57,AB57,AD57)</f>
        <v>-0.87</v>
      </c>
    </row>
    <row r="58" spans="1:32" x14ac:dyDescent="0.25">
      <c r="A58">
        <v>80.209999999999994</v>
      </c>
      <c r="B58">
        <v>121.79</v>
      </c>
      <c r="C58">
        <v>5.1805398739432551</v>
      </c>
      <c r="D58" t="s">
        <v>39</v>
      </c>
      <c r="E58" s="13">
        <f>SQRT((MAIN!$G$2-A58)^2+(MAIN!$I$2-B58)^2)</f>
        <v>108.18709812172615</v>
      </c>
      <c r="F58" t="s">
        <v>49</v>
      </c>
      <c r="G58" s="13">
        <f>MIN(MAIN!$R$2,E58/MAIN!$L$2)</f>
        <v>2</v>
      </c>
      <c r="H58" s="12">
        <f>(MAX(0,E58-(MAIN!$U$2)))/MAIN!$O$2</f>
        <v>11.648387265215769</v>
      </c>
      <c r="J58" s="12">
        <f t="shared" si="2"/>
        <v>13.648387265215769</v>
      </c>
      <c r="K58" t="s">
        <v>39</v>
      </c>
      <c r="L58" s="13">
        <f>SQRT((MAIN!$G$3-A58)^2+(MAIN!$I$3-B58)^2)</f>
        <v>66.577385049279314</v>
      </c>
      <c r="M58" t="s">
        <v>49</v>
      </c>
      <c r="N58" s="13">
        <f>MIN(MAIN!$R$3,L58/MAIN!$L$3)</f>
        <v>2</v>
      </c>
      <c r="O58" s="12">
        <f>(MAX(0,L58-(MAIN!$U$3)))/MAIN!$O$3</f>
        <v>5.2577385049279313</v>
      </c>
      <c r="Q58" s="19">
        <f t="shared" si="3"/>
        <v>7.2577385049279313</v>
      </c>
      <c r="R58" t="s">
        <v>39</v>
      </c>
      <c r="S58" s="13">
        <f>SQRT((MAIN!$G$4-A58)^2+(MAIN!$I$4-B58)^2)</f>
        <v>37.248465740215394</v>
      </c>
      <c r="T58" t="s">
        <v>49</v>
      </c>
      <c r="U58" s="13">
        <f>MIN(MAIN!$R$4,S58/MAIN!$L$4)</f>
        <v>2</v>
      </c>
      <c r="V58" s="12">
        <f>(MAX(0,S58-(MAIN!$U$4)))/MAIN!$O$4</f>
        <v>2.7810582175269243</v>
      </c>
      <c r="X58" s="19">
        <f t="shared" si="4"/>
        <v>4.7810582175269243</v>
      </c>
      <c r="Y58" t="s">
        <v>39</v>
      </c>
      <c r="Z58" s="14">
        <f>IF(J58&lt;=C58,MAIN!$L$7,IF(AND(J58&gt;C58,J58&lt;=C58+MAIN!$H$7),MAIN!$M$7,MAIN!$N$7))</f>
        <v>-1.2170000000000001</v>
      </c>
      <c r="AA58" t="str">
        <f>IF(Z58=MAIN!$L$7,"OUT",IF(Z58=MAIN!$M$7,"SINGLE",IF(Z58=MAIN!$N$7,"DOUBLE")))</f>
        <v>DOUBLE</v>
      </c>
      <c r="AB58" s="14">
        <f>IF(Q58&lt;=C58,MAIN!$L$7,IF(AND(Q58&gt;C58,Q58&lt;=C58+MAIN!$H$7),MAIN!$M$7,MAIN!$N$7))</f>
        <v>-1.2170000000000001</v>
      </c>
      <c r="AC58" t="str">
        <f>IF(AB58=MAIN!$L$7,"OUT",IF(AB58=MAIN!$M$7,"SINGLE",IF(AB58=MAIN!$N$7,"DOUBLE")))</f>
        <v>DOUBLE</v>
      </c>
      <c r="AD58" s="14">
        <f>IF(X58&lt;=C58,MAIN!$L$7,IF(AND(X58&gt;C58,X58&lt;=C58+MAIN!$H$7),MAIN!$M$7,MAIN!$N$7))</f>
        <v>0.3</v>
      </c>
      <c r="AE58" t="str">
        <f>IF(AD58=MAIN!$L$7,"OUT",IF(AD58=MAIN!$M$7,"SINGLE",IF(AD58=MAIN!$N$7,"DOUBLE")))</f>
        <v>OUT</v>
      </c>
      <c r="AF58" s="18">
        <f t="shared" si="5"/>
        <v>0.3</v>
      </c>
    </row>
    <row r="59" spans="1:32" x14ac:dyDescent="0.25">
      <c r="A59">
        <v>87.97</v>
      </c>
      <c r="B59">
        <v>121.74</v>
      </c>
      <c r="C59">
        <v>1.8424246550616163</v>
      </c>
      <c r="D59" t="s">
        <v>39</v>
      </c>
      <c r="E59" s="13">
        <f>SQRT((MAIN!$G$2-A59)^2+(MAIN!$I$2-B59)^2)</f>
        <v>101.05319638685359</v>
      </c>
      <c r="F59" t="s">
        <v>49</v>
      </c>
      <c r="G59" s="13">
        <f>MIN(MAIN!$R$2,E59/MAIN!$L$2)</f>
        <v>2</v>
      </c>
      <c r="H59" s="12">
        <f>(MAX(0,E59-(MAIN!$U$2)))/MAIN!$O$2</f>
        <v>10.756649548356698</v>
      </c>
      <c r="J59" s="12">
        <f t="shared" si="2"/>
        <v>12.756649548356698</v>
      </c>
      <c r="K59" t="s">
        <v>39</v>
      </c>
      <c r="L59" s="13">
        <f>SQRT((MAIN!$G$3-A59)^2+(MAIN!$I$3-B59)^2)</f>
        <v>64.045675107691693</v>
      </c>
      <c r="M59" t="s">
        <v>49</v>
      </c>
      <c r="N59" s="13">
        <f>MIN(MAIN!$R$3,L59/MAIN!$L$3)</f>
        <v>2</v>
      </c>
      <c r="O59" s="12">
        <f>(MAX(0,L59-(MAIN!$U$3)))/MAIN!$O$3</f>
        <v>5.0045675107691689</v>
      </c>
      <c r="Q59" s="19">
        <f t="shared" si="3"/>
        <v>7.0045675107691689</v>
      </c>
      <c r="R59" t="s">
        <v>39</v>
      </c>
      <c r="S59" s="13">
        <f>SQRT((MAIN!$G$4-A59)^2+(MAIN!$I$4-B59)^2)</f>
        <v>43.75326844933987</v>
      </c>
      <c r="T59" t="s">
        <v>49</v>
      </c>
      <c r="U59" s="13">
        <f>MIN(MAIN!$R$4,S59/MAIN!$L$4)</f>
        <v>2</v>
      </c>
      <c r="V59" s="12">
        <f>(MAX(0,S59-(MAIN!$U$4)))/MAIN!$O$4</f>
        <v>3.5941585561674838</v>
      </c>
      <c r="X59" s="19">
        <f t="shared" si="4"/>
        <v>5.5941585561674838</v>
      </c>
      <c r="Y59" t="s">
        <v>39</v>
      </c>
      <c r="Z59" s="14">
        <f>IF(J59&lt;=C59,MAIN!$L$7,IF(AND(J59&gt;C59,J59&lt;=C59+MAIN!$H$7),MAIN!$M$7,MAIN!$N$7))</f>
        <v>-1.2170000000000001</v>
      </c>
      <c r="AA59" t="str">
        <f>IF(Z59=MAIN!$L$7,"OUT",IF(Z59=MAIN!$M$7,"SINGLE",IF(Z59=MAIN!$N$7,"DOUBLE")))</f>
        <v>DOUBLE</v>
      </c>
      <c r="AB59" s="14">
        <f>IF(Q59&lt;=C59,MAIN!$L$7,IF(AND(Q59&gt;C59,Q59&lt;=C59+MAIN!$H$7),MAIN!$M$7,MAIN!$N$7))</f>
        <v>-1.2170000000000001</v>
      </c>
      <c r="AC59" t="str">
        <f>IF(AB59=MAIN!$L$7,"OUT",IF(AB59=MAIN!$M$7,"SINGLE",IF(AB59=MAIN!$N$7,"DOUBLE")))</f>
        <v>DOUBLE</v>
      </c>
      <c r="AD59" s="14">
        <f>IF(X59&lt;=C59,MAIN!$L$7,IF(AND(X59&gt;C59,X59&lt;=C59+MAIN!$H$7),MAIN!$M$7,MAIN!$N$7))</f>
        <v>-1.2170000000000001</v>
      </c>
      <c r="AE59" t="str">
        <f>IF(AD59=MAIN!$L$7,"OUT",IF(AD59=MAIN!$M$7,"SINGLE",IF(AD59=MAIN!$N$7,"DOUBLE")))</f>
        <v>DOUBLE</v>
      </c>
      <c r="AF59" s="18">
        <f t="shared" si="5"/>
        <v>-1.2170000000000001</v>
      </c>
    </row>
    <row r="60" spans="1:32" x14ac:dyDescent="0.25">
      <c r="A60">
        <v>71.27</v>
      </c>
      <c r="B60">
        <v>120.31</v>
      </c>
      <c r="C60">
        <v>3.1975676597580591</v>
      </c>
      <c r="D60" t="s">
        <v>39</v>
      </c>
      <c r="E60" s="13">
        <f>SQRT((MAIN!$G$2-A60)^2+(MAIN!$I$2-B60)^2)</f>
        <v>115.96167039155654</v>
      </c>
      <c r="F60" t="s">
        <v>49</v>
      </c>
      <c r="G60" s="13">
        <f>MIN(MAIN!$R$2,E60/MAIN!$L$2)</f>
        <v>2</v>
      </c>
      <c r="H60" s="12">
        <f>(MAX(0,E60-(MAIN!$U$2)))/MAIN!$O$2</f>
        <v>12.620208798944567</v>
      </c>
      <c r="J60" s="12">
        <f t="shared" si="2"/>
        <v>14.620208798944567</v>
      </c>
      <c r="K60" t="s">
        <v>39</v>
      </c>
      <c r="L60" s="13">
        <f>SQRT((MAIN!$G$3-A60)^2+(MAIN!$I$3-B60)^2)</f>
        <v>69.101439927110064</v>
      </c>
      <c r="M60" t="s">
        <v>49</v>
      </c>
      <c r="N60" s="13">
        <f>MIN(MAIN!$R$3,L60/MAIN!$L$3)</f>
        <v>2</v>
      </c>
      <c r="O60" s="12">
        <f>(MAX(0,L60-(MAIN!$U$3)))/MAIN!$O$3</f>
        <v>5.5101439927110061</v>
      </c>
      <c r="Q60" s="19">
        <f t="shared" si="3"/>
        <v>7.5101439927110061</v>
      </c>
      <c r="R60" t="s">
        <v>39</v>
      </c>
      <c r="S60" s="13">
        <f>SQRT((MAIN!$G$4-A60)^2+(MAIN!$I$4-B60)^2)</f>
        <v>29.409335252603039</v>
      </c>
      <c r="T60" t="s">
        <v>49</v>
      </c>
      <c r="U60" s="13">
        <f>MIN(MAIN!$R$4,S60/MAIN!$L$4)</f>
        <v>2</v>
      </c>
      <c r="V60" s="12">
        <f>(MAX(0,S60-(MAIN!$U$4)))/MAIN!$O$4</f>
        <v>1.8011669065753799</v>
      </c>
      <c r="X60" s="19">
        <f t="shared" si="4"/>
        <v>3.8011669065753799</v>
      </c>
      <c r="Y60" t="s">
        <v>39</v>
      </c>
      <c r="Z60" s="14">
        <f>IF(J60&lt;=C60,MAIN!$L$7,IF(AND(J60&gt;C60,J60&lt;=C60+MAIN!$H$7),MAIN!$M$7,MAIN!$N$7))</f>
        <v>-1.2170000000000001</v>
      </c>
      <c r="AA60" t="str">
        <f>IF(Z60=MAIN!$L$7,"OUT",IF(Z60=MAIN!$M$7,"SINGLE",IF(Z60=MAIN!$N$7,"DOUBLE")))</f>
        <v>DOUBLE</v>
      </c>
      <c r="AB60" s="14">
        <f>IF(Q60&lt;=C60,MAIN!$L$7,IF(AND(Q60&gt;C60,Q60&lt;=C60+MAIN!$H$7),MAIN!$M$7,MAIN!$N$7))</f>
        <v>-1.2170000000000001</v>
      </c>
      <c r="AC60" t="str">
        <f>IF(AB60=MAIN!$L$7,"OUT",IF(AB60=MAIN!$M$7,"SINGLE",IF(AB60=MAIN!$N$7,"DOUBLE")))</f>
        <v>DOUBLE</v>
      </c>
      <c r="AD60" s="14">
        <f>IF(X60&lt;=C60,MAIN!$L$7,IF(AND(X60&gt;C60,X60&lt;=C60+MAIN!$H$7),MAIN!$M$7,MAIN!$N$7))</f>
        <v>-0.87</v>
      </c>
      <c r="AE60" t="str">
        <f>IF(AD60=MAIN!$L$7,"OUT",IF(AD60=MAIN!$M$7,"SINGLE",IF(AD60=MAIN!$N$7,"DOUBLE")))</f>
        <v>SINGLE</v>
      </c>
      <c r="AF60" s="18">
        <f t="shared" si="5"/>
        <v>-0.87</v>
      </c>
    </row>
    <row r="61" spans="1:32" x14ac:dyDescent="0.25">
      <c r="A61">
        <v>190.71</v>
      </c>
      <c r="B61">
        <v>120.17</v>
      </c>
      <c r="C61">
        <v>6.1672650417395314</v>
      </c>
      <c r="D61" t="s">
        <v>39</v>
      </c>
      <c r="E61" s="13">
        <f>SQRT((MAIN!$G$2-A61)^2+(MAIN!$I$2-B61)^2)</f>
        <v>41.573224556197232</v>
      </c>
      <c r="F61" t="s">
        <v>49</v>
      </c>
      <c r="G61" s="13">
        <f>MIN(MAIN!$R$2,E61/MAIN!$L$2)</f>
        <v>2</v>
      </c>
      <c r="H61" s="12">
        <f>(MAX(0,E61-(MAIN!$U$2)))/MAIN!$O$2</f>
        <v>3.321653069524654</v>
      </c>
      <c r="J61" s="12">
        <f t="shared" si="2"/>
        <v>5.321653069524654</v>
      </c>
      <c r="K61" t="s">
        <v>39</v>
      </c>
      <c r="L61" s="13">
        <f>SQRT((MAIN!$G$3-A61)^2+(MAIN!$I$3-B61)^2)</f>
        <v>104.72169307263897</v>
      </c>
      <c r="M61" t="s">
        <v>49</v>
      </c>
      <c r="N61" s="13">
        <f>MIN(MAIN!$R$3,L61/MAIN!$L$3)</f>
        <v>2</v>
      </c>
      <c r="O61" s="12">
        <f>(MAX(0,L61-(MAIN!$U$3)))/MAIN!$O$3</f>
        <v>9.0721693072638967</v>
      </c>
      <c r="Q61" s="19">
        <f t="shared" si="3"/>
        <v>11.072169307263897</v>
      </c>
      <c r="R61" t="s">
        <v>39</v>
      </c>
      <c r="S61" s="13">
        <f>SQRT((MAIN!$G$4-A61)^2+(MAIN!$I$4-B61)^2)</f>
        <v>142.14827821679728</v>
      </c>
      <c r="T61" t="s">
        <v>49</v>
      </c>
      <c r="U61" s="13">
        <f>MIN(MAIN!$R$4,S61/MAIN!$L$4)</f>
        <v>2</v>
      </c>
      <c r="V61" s="12">
        <f>(MAX(0,S61-(MAIN!$U$4)))/MAIN!$O$4</f>
        <v>15.89353477709966</v>
      </c>
      <c r="X61" s="19">
        <f t="shared" si="4"/>
        <v>17.89353477709966</v>
      </c>
      <c r="Y61" t="s">
        <v>39</v>
      </c>
      <c r="Z61" s="14">
        <f>IF(J61&lt;=C61,MAIN!$L$7,IF(AND(J61&gt;C61,J61&lt;=C61+MAIN!$H$7),MAIN!$M$7,MAIN!$N$7))</f>
        <v>0.3</v>
      </c>
      <c r="AA61" t="str">
        <f>IF(Z61=MAIN!$L$7,"OUT",IF(Z61=MAIN!$M$7,"SINGLE",IF(Z61=MAIN!$N$7,"DOUBLE")))</f>
        <v>OUT</v>
      </c>
      <c r="AB61" s="14">
        <f>IF(Q61&lt;=C61,MAIN!$L$7,IF(AND(Q61&gt;C61,Q61&lt;=C61+MAIN!$H$7),MAIN!$M$7,MAIN!$N$7))</f>
        <v>-1.2170000000000001</v>
      </c>
      <c r="AC61" t="str">
        <f>IF(AB61=MAIN!$L$7,"OUT",IF(AB61=MAIN!$M$7,"SINGLE",IF(AB61=MAIN!$N$7,"DOUBLE")))</f>
        <v>DOUBLE</v>
      </c>
      <c r="AD61" s="14">
        <f>IF(X61&lt;=C61,MAIN!$L$7,IF(AND(X61&gt;C61,X61&lt;=C61+MAIN!$H$7),MAIN!$M$7,MAIN!$N$7))</f>
        <v>-1.2170000000000001</v>
      </c>
      <c r="AE61" t="str">
        <f>IF(AD61=MAIN!$L$7,"OUT",IF(AD61=MAIN!$M$7,"SINGLE",IF(AD61=MAIN!$N$7,"DOUBLE")))</f>
        <v>DOUBLE</v>
      </c>
      <c r="AF61" s="18">
        <f t="shared" si="5"/>
        <v>0.3</v>
      </c>
    </row>
    <row r="62" spans="1:32" x14ac:dyDescent="0.25">
      <c r="A62">
        <v>78.319999999999993</v>
      </c>
      <c r="B62">
        <v>119.71</v>
      </c>
      <c r="C62">
        <v>1.9675115290273015</v>
      </c>
      <c r="D62" t="s">
        <v>39</v>
      </c>
      <c r="E62" s="13">
        <f>SQRT((MAIN!$G$2-A62)^2+(MAIN!$I$2-B62)^2)</f>
        <v>109.15908803210111</v>
      </c>
      <c r="F62" t="s">
        <v>49</v>
      </c>
      <c r="G62" s="13">
        <f>MIN(MAIN!$R$2,E62/MAIN!$L$2)</f>
        <v>2</v>
      </c>
      <c r="H62" s="12">
        <f>(MAX(0,E62-(MAIN!$U$2)))/MAIN!$O$2</f>
        <v>11.769886004012639</v>
      </c>
      <c r="J62" s="12">
        <f t="shared" si="2"/>
        <v>13.769886004012639</v>
      </c>
      <c r="K62" t="s">
        <v>39</v>
      </c>
      <c r="L62" s="13">
        <f>SQRT((MAIN!$G$3-A62)^2+(MAIN!$I$3-B62)^2)</f>
        <v>65.399590977314219</v>
      </c>
      <c r="M62" t="s">
        <v>49</v>
      </c>
      <c r="N62" s="13">
        <f>MIN(MAIN!$R$3,L62/MAIN!$L$3)</f>
        <v>2</v>
      </c>
      <c r="O62" s="12">
        <f>(MAX(0,L62-(MAIN!$U$3)))/MAIN!$O$3</f>
        <v>5.1399590977314222</v>
      </c>
      <c r="Q62" s="19">
        <f t="shared" si="3"/>
        <v>7.1399590977314222</v>
      </c>
      <c r="R62" t="s">
        <v>39</v>
      </c>
      <c r="S62" s="13">
        <f>SQRT((MAIN!$G$4-A62)^2+(MAIN!$I$4-B62)^2)</f>
        <v>34.503717191050576</v>
      </c>
      <c r="T62" t="s">
        <v>49</v>
      </c>
      <c r="U62" s="13">
        <f>MIN(MAIN!$R$4,S62/MAIN!$L$4)</f>
        <v>2</v>
      </c>
      <c r="V62" s="12">
        <f>(MAX(0,S62-(MAIN!$U$4)))/MAIN!$O$4</f>
        <v>2.437964648881322</v>
      </c>
      <c r="X62" s="19">
        <f t="shared" si="4"/>
        <v>4.437964648881322</v>
      </c>
      <c r="Y62" t="s">
        <v>39</v>
      </c>
      <c r="Z62" s="14">
        <f>IF(J62&lt;=C62,MAIN!$L$7,IF(AND(J62&gt;C62,J62&lt;=C62+MAIN!$H$7),MAIN!$M$7,MAIN!$N$7))</f>
        <v>-1.2170000000000001</v>
      </c>
      <c r="AA62" t="str">
        <f>IF(Z62=MAIN!$L$7,"OUT",IF(Z62=MAIN!$M$7,"SINGLE",IF(Z62=MAIN!$N$7,"DOUBLE")))</f>
        <v>DOUBLE</v>
      </c>
      <c r="AB62" s="14">
        <f>IF(Q62&lt;=C62,MAIN!$L$7,IF(AND(Q62&gt;C62,Q62&lt;=C62+MAIN!$H$7),MAIN!$M$7,MAIN!$N$7))</f>
        <v>-1.2170000000000001</v>
      </c>
      <c r="AC62" t="str">
        <f>IF(AB62=MAIN!$L$7,"OUT",IF(AB62=MAIN!$M$7,"SINGLE",IF(AB62=MAIN!$N$7,"DOUBLE")))</f>
        <v>DOUBLE</v>
      </c>
      <c r="AD62" s="14">
        <f>IF(X62&lt;=C62,MAIN!$L$7,IF(AND(X62&gt;C62,X62&lt;=C62+MAIN!$H$7),MAIN!$M$7,MAIN!$N$7))</f>
        <v>-1.2170000000000001</v>
      </c>
      <c r="AE62" t="str">
        <f>IF(AD62=MAIN!$L$7,"OUT",IF(AD62=MAIN!$M$7,"SINGLE",IF(AD62=MAIN!$N$7,"DOUBLE")))</f>
        <v>DOUBLE</v>
      </c>
      <c r="AF62" s="18">
        <f t="shared" si="5"/>
        <v>-1.2170000000000001</v>
      </c>
    </row>
    <row r="63" spans="1:32" x14ac:dyDescent="0.25">
      <c r="A63">
        <v>92.11</v>
      </c>
      <c r="B63">
        <v>119.59</v>
      </c>
      <c r="C63">
        <v>2.7152595752369826</v>
      </c>
      <c r="D63" t="s">
        <v>39</v>
      </c>
      <c r="E63" s="13">
        <f>SQRT((MAIN!$G$2-A63)^2+(MAIN!$I$2-B63)^2)</f>
        <v>96.395125395426504</v>
      </c>
      <c r="F63" t="s">
        <v>49</v>
      </c>
      <c r="G63" s="13">
        <f>MIN(MAIN!$R$2,E63/MAIN!$L$2)</f>
        <v>2</v>
      </c>
      <c r="H63" s="12">
        <f>(MAX(0,E63-(MAIN!$U$2)))/MAIN!$O$2</f>
        <v>10.174390674428313</v>
      </c>
      <c r="J63" s="12">
        <f t="shared" si="2"/>
        <v>12.174390674428313</v>
      </c>
      <c r="K63" t="s">
        <v>39</v>
      </c>
      <c r="L63" s="13">
        <f>SQRT((MAIN!$G$3-A63)^2+(MAIN!$I$3-B63)^2)</f>
        <v>60.968190066624089</v>
      </c>
      <c r="M63" t="s">
        <v>49</v>
      </c>
      <c r="N63" s="13">
        <f>MIN(MAIN!$R$3,L63/MAIN!$L$3)</f>
        <v>2</v>
      </c>
      <c r="O63" s="12">
        <f>(MAX(0,L63-(MAIN!$U$3)))/MAIN!$O$3</f>
        <v>4.6968190066624089</v>
      </c>
      <c r="Q63" s="19">
        <f t="shared" si="3"/>
        <v>6.6968190066624089</v>
      </c>
      <c r="R63" t="s">
        <v>39</v>
      </c>
      <c r="S63" s="13">
        <f>SQRT((MAIN!$G$4-A63)^2+(MAIN!$I$4-B63)^2)</f>
        <v>46.443731546894462</v>
      </c>
      <c r="T63" t="s">
        <v>49</v>
      </c>
      <c r="U63" s="13">
        <f>MIN(MAIN!$R$4,S63/MAIN!$L$4)</f>
        <v>2</v>
      </c>
      <c r="V63" s="12">
        <f>(MAX(0,S63-(MAIN!$U$4)))/MAIN!$O$4</f>
        <v>3.9304664433618077</v>
      </c>
      <c r="X63" s="19">
        <f t="shared" si="4"/>
        <v>5.9304664433618077</v>
      </c>
      <c r="Y63" t="s">
        <v>39</v>
      </c>
      <c r="Z63" s="14">
        <f>IF(J63&lt;=C63,MAIN!$L$7,IF(AND(J63&gt;C63,J63&lt;=C63+MAIN!$H$7),MAIN!$M$7,MAIN!$N$7))</f>
        <v>-1.2170000000000001</v>
      </c>
      <c r="AA63" t="str">
        <f>IF(Z63=MAIN!$L$7,"OUT",IF(Z63=MAIN!$M$7,"SINGLE",IF(Z63=MAIN!$N$7,"DOUBLE")))</f>
        <v>DOUBLE</v>
      </c>
      <c r="AB63" s="14">
        <f>IF(Q63&lt;=C63,MAIN!$L$7,IF(AND(Q63&gt;C63,Q63&lt;=C63+MAIN!$H$7),MAIN!$M$7,MAIN!$N$7))</f>
        <v>-1.2170000000000001</v>
      </c>
      <c r="AC63" t="str">
        <f>IF(AB63=MAIN!$L$7,"OUT",IF(AB63=MAIN!$M$7,"SINGLE",IF(AB63=MAIN!$N$7,"DOUBLE")))</f>
        <v>DOUBLE</v>
      </c>
      <c r="AD63" s="14">
        <f>IF(X63&lt;=C63,MAIN!$L$7,IF(AND(X63&gt;C63,X63&lt;=C63+MAIN!$H$7),MAIN!$M$7,MAIN!$N$7))</f>
        <v>-1.2170000000000001</v>
      </c>
      <c r="AE63" t="str">
        <f>IF(AD63=MAIN!$L$7,"OUT",IF(AD63=MAIN!$M$7,"SINGLE",IF(AD63=MAIN!$N$7,"DOUBLE")))</f>
        <v>DOUBLE</v>
      </c>
      <c r="AF63" s="18">
        <f t="shared" si="5"/>
        <v>-1.2170000000000001</v>
      </c>
    </row>
    <row r="64" spans="1:32" x14ac:dyDescent="0.25">
      <c r="A64">
        <v>224.04</v>
      </c>
      <c r="B64">
        <v>119.2</v>
      </c>
      <c r="C64">
        <v>6.9561780891695086</v>
      </c>
      <c r="D64" t="s">
        <v>39</v>
      </c>
      <c r="E64" s="13">
        <f>SQRT((MAIN!$G$2-A64)^2+(MAIN!$I$2-B64)^2)</f>
        <v>58.958982352140367</v>
      </c>
      <c r="F64" t="s">
        <v>49</v>
      </c>
      <c r="G64" s="13">
        <f>MIN(MAIN!$R$2,E64/MAIN!$L$2)</f>
        <v>2</v>
      </c>
      <c r="H64" s="12">
        <f>(MAX(0,E64-(MAIN!$U$2)))/MAIN!$O$2</f>
        <v>5.4948727940175459</v>
      </c>
      <c r="J64" s="12">
        <f t="shared" si="2"/>
        <v>7.4948727940175459</v>
      </c>
      <c r="K64" t="s">
        <v>39</v>
      </c>
      <c r="L64" s="13">
        <f>SQRT((MAIN!$G$3-A64)^2+(MAIN!$I$3-B64)^2)</f>
        <v>132.94796576104503</v>
      </c>
      <c r="M64" t="s">
        <v>49</v>
      </c>
      <c r="N64" s="13">
        <f>MIN(MAIN!$R$3,L64/MAIN!$L$3)</f>
        <v>2</v>
      </c>
      <c r="O64" s="12">
        <f>(MAX(0,L64-(MAIN!$U$3)))/MAIN!$O$3</f>
        <v>11.894796576104502</v>
      </c>
      <c r="Q64" s="19">
        <f t="shared" si="3"/>
        <v>13.894796576104502</v>
      </c>
      <c r="R64" t="s">
        <v>39</v>
      </c>
      <c r="S64" s="13">
        <f>SQRT((MAIN!$G$4-A64)^2+(MAIN!$I$4-B64)^2)</f>
        <v>175.09586402882277</v>
      </c>
      <c r="T64" t="s">
        <v>49</v>
      </c>
      <c r="U64" s="13">
        <f>MIN(MAIN!$R$4,S64/MAIN!$L$4)</f>
        <v>2</v>
      </c>
      <c r="V64" s="12">
        <f>(MAX(0,S64-(MAIN!$U$4)))/MAIN!$O$4</f>
        <v>20.011983003602847</v>
      </c>
      <c r="X64" s="19">
        <f t="shared" si="4"/>
        <v>22.011983003602847</v>
      </c>
      <c r="Y64" t="s">
        <v>39</v>
      </c>
      <c r="Z64" s="14">
        <f>IF(J64&lt;=C64,MAIN!$L$7,IF(AND(J64&gt;C64,J64&lt;=C64+MAIN!$H$7),MAIN!$M$7,MAIN!$N$7))</f>
        <v>-0.87</v>
      </c>
      <c r="AA64" t="str">
        <f>IF(Z64=MAIN!$L$7,"OUT",IF(Z64=MAIN!$M$7,"SINGLE",IF(Z64=MAIN!$N$7,"DOUBLE")))</f>
        <v>SINGLE</v>
      </c>
      <c r="AB64" s="14">
        <f>IF(Q64&lt;=C64,MAIN!$L$7,IF(AND(Q64&gt;C64,Q64&lt;=C64+MAIN!$H$7),MAIN!$M$7,MAIN!$N$7))</f>
        <v>-1.2170000000000001</v>
      </c>
      <c r="AC64" t="str">
        <f>IF(AB64=MAIN!$L$7,"OUT",IF(AB64=MAIN!$M$7,"SINGLE",IF(AB64=MAIN!$N$7,"DOUBLE")))</f>
        <v>DOUBLE</v>
      </c>
      <c r="AD64" s="14">
        <f>IF(X64&lt;=C64,MAIN!$L$7,IF(AND(X64&gt;C64,X64&lt;=C64+MAIN!$H$7),MAIN!$M$7,MAIN!$N$7))</f>
        <v>-1.2170000000000001</v>
      </c>
      <c r="AE64" t="str">
        <f>IF(AD64=MAIN!$L$7,"OUT",IF(AD64=MAIN!$M$7,"SINGLE",IF(AD64=MAIN!$N$7,"DOUBLE")))</f>
        <v>DOUBLE</v>
      </c>
      <c r="AF64" s="18">
        <f t="shared" si="5"/>
        <v>-0.87</v>
      </c>
    </row>
    <row r="65" spans="1:32" x14ac:dyDescent="0.25">
      <c r="A65">
        <v>156.52000000000001</v>
      </c>
      <c r="B65">
        <v>118.57</v>
      </c>
      <c r="C65">
        <v>2.077922647427179</v>
      </c>
      <c r="D65" t="s">
        <v>39</v>
      </c>
      <c r="E65" s="13">
        <f>SQRT((MAIN!$G$2-A65)^2+(MAIN!$I$2-B65)^2)</f>
        <v>45.154792658144267</v>
      </c>
      <c r="F65" t="s">
        <v>49</v>
      </c>
      <c r="G65" s="13">
        <f>MIN(MAIN!$R$2,E65/MAIN!$L$2)</f>
        <v>2</v>
      </c>
      <c r="H65" s="12">
        <f>(MAX(0,E65-(MAIN!$U$2)))/MAIN!$O$2</f>
        <v>3.7693490822680333</v>
      </c>
      <c r="J65" s="12">
        <f t="shared" si="2"/>
        <v>5.7693490822680333</v>
      </c>
      <c r="K65" t="s">
        <v>39</v>
      </c>
      <c r="L65" s="13">
        <f>SQRT((MAIN!$G$3-A65)^2+(MAIN!$I$3-B65)^2)</f>
        <v>78.004841516408462</v>
      </c>
      <c r="M65" t="s">
        <v>49</v>
      </c>
      <c r="N65" s="13">
        <f>MIN(MAIN!$R$3,L65/MAIN!$L$3)</f>
        <v>2</v>
      </c>
      <c r="O65" s="12">
        <f>(MAX(0,L65-(MAIN!$U$3)))/MAIN!$O$3</f>
        <v>6.4004841516408462</v>
      </c>
      <c r="Q65" s="19">
        <f t="shared" si="3"/>
        <v>8.4004841516408462</v>
      </c>
      <c r="R65" t="s">
        <v>39</v>
      </c>
      <c r="S65" s="13">
        <f>SQRT((MAIN!$G$4-A65)^2+(MAIN!$I$4-B65)^2)</f>
        <v>108.12657074003597</v>
      </c>
      <c r="T65" t="s">
        <v>49</v>
      </c>
      <c r="U65" s="13">
        <f>MIN(MAIN!$R$4,S65/MAIN!$L$4)</f>
        <v>2</v>
      </c>
      <c r="V65" s="12">
        <f>(MAX(0,S65-(MAIN!$U$4)))/MAIN!$O$4</f>
        <v>11.640821342504497</v>
      </c>
      <c r="X65" s="19">
        <f t="shared" si="4"/>
        <v>13.640821342504497</v>
      </c>
      <c r="Y65" t="s">
        <v>39</v>
      </c>
      <c r="Z65" s="14">
        <f>IF(J65&lt;=C65,MAIN!$L$7,IF(AND(J65&gt;C65,J65&lt;=C65+MAIN!$H$7),MAIN!$M$7,MAIN!$N$7))</f>
        <v>-1.2170000000000001</v>
      </c>
      <c r="AA65" t="str">
        <f>IF(Z65=MAIN!$L$7,"OUT",IF(Z65=MAIN!$M$7,"SINGLE",IF(Z65=MAIN!$N$7,"DOUBLE")))</f>
        <v>DOUBLE</v>
      </c>
      <c r="AB65" s="14">
        <f>IF(Q65&lt;=C65,MAIN!$L$7,IF(AND(Q65&gt;C65,Q65&lt;=C65+MAIN!$H$7),MAIN!$M$7,MAIN!$N$7))</f>
        <v>-1.2170000000000001</v>
      </c>
      <c r="AC65" t="str">
        <f>IF(AB65=MAIN!$L$7,"OUT",IF(AB65=MAIN!$M$7,"SINGLE",IF(AB65=MAIN!$N$7,"DOUBLE")))</f>
        <v>DOUBLE</v>
      </c>
      <c r="AD65" s="14">
        <f>IF(X65&lt;=C65,MAIN!$L$7,IF(AND(X65&gt;C65,X65&lt;=C65+MAIN!$H$7),MAIN!$M$7,MAIN!$N$7))</f>
        <v>-1.2170000000000001</v>
      </c>
      <c r="AE65" t="str">
        <f>IF(AD65=MAIN!$L$7,"OUT",IF(AD65=MAIN!$M$7,"SINGLE",IF(AD65=MAIN!$N$7,"DOUBLE")))</f>
        <v>DOUBLE</v>
      </c>
      <c r="AF65" s="18">
        <f t="shared" si="5"/>
        <v>-1.2170000000000001</v>
      </c>
    </row>
    <row r="66" spans="1:32" x14ac:dyDescent="0.25">
      <c r="A66">
        <v>104.85</v>
      </c>
      <c r="B66">
        <v>118.54</v>
      </c>
      <c r="C66">
        <v>2.6128580906524013</v>
      </c>
      <c r="D66" t="s">
        <v>39</v>
      </c>
      <c r="E66" s="13">
        <f>SQRT((MAIN!$G$2-A66)^2+(MAIN!$I$2-B66)^2)</f>
        <v>84.456225939832294</v>
      </c>
      <c r="F66" t="s">
        <v>49</v>
      </c>
      <c r="G66" s="13">
        <f>MIN(MAIN!$R$2,E66/MAIN!$L$2)</f>
        <v>2</v>
      </c>
      <c r="H66" s="12">
        <f>(MAX(0,E66-(MAIN!$U$2)))/MAIN!$O$2</f>
        <v>8.6820282424790367</v>
      </c>
      <c r="J66" s="12">
        <f t="shared" si="2"/>
        <v>10.682028242479037</v>
      </c>
      <c r="K66" t="s">
        <v>39</v>
      </c>
      <c r="L66" s="13">
        <f>SQRT((MAIN!$G$3-A66)^2+(MAIN!$I$3-B66)^2)</f>
        <v>58.540192175974283</v>
      </c>
      <c r="M66" t="s">
        <v>49</v>
      </c>
      <c r="N66" s="13">
        <f>MIN(MAIN!$R$3,L66/MAIN!$L$3)</f>
        <v>2</v>
      </c>
      <c r="O66" s="12">
        <f>(MAX(0,L66-(MAIN!$U$3)))/MAIN!$O$3</f>
        <v>4.4540192175974287</v>
      </c>
      <c r="Q66" s="19">
        <f t="shared" si="3"/>
        <v>6.4540192175974287</v>
      </c>
      <c r="R66" t="s">
        <v>39</v>
      </c>
      <c r="S66" s="13">
        <f>SQRT((MAIN!$G$4-A66)^2+(MAIN!$I$4-B66)^2)</f>
        <v>57.898653697646544</v>
      </c>
      <c r="T66" t="s">
        <v>49</v>
      </c>
      <c r="U66" s="13">
        <f>MIN(MAIN!$R$4,S66/MAIN!$L$4)</f>
        <v>2</v>
      </c>
      <c r="V66" s="12">
        <f>(MAX(0,S66-(MAIN!$U$4)))/MAIN!$O$4</f>
        <v>5.3623317122058181</v>
      </c>
      <c r="X66" s="19">
        <f t="shared" si="4"/>
        <v>7.3623317122058181</v>
      </c>
      <c r="Y66" t="s">
        <v>39</v>
      </c>
      <c r="Z66" s="14">
        <f>IF(J66&lt;=C66,MAIN!$L$7,IF(AND(J66&gt;C66,J66&lt;=C66+MAIN!$H$7),MAIN!$M$7,MAIN!$N$7))</f>
        <v>-1.2170000000000001</v>
      </c>
      <c r="AA66" t="str">
        <f>IF(Z66=MAIN!$L$7,"OUT",IF(Z66=MAIN!$M$7,"SINGLE",IF(Z66=MAIN!$N$7,"DOUBLE")))</f>
        <v>DOUBLE</v>
      </c>
      <c r="AB66" s="14">
        <f>IF(Q66&lt;=C66,MAIN!$L$7,IF(AND(Q66&gt;C66,Q66&lt;=C66+MAIN!$H$7),MAIN!$M$7,MAIN!$N$7))</f>
        <v>-1.2170000000000001</v>
      </c>
      <c r="AC66" t="str">
        <f>IF(AB66=MAIN!$L$7,"OUT",IF(AB66=MAIN!$M$7,"SINGLE",IF(AB66=MAIN!$N$7,"DOUBLE")))</f>
        <v>DOUBLE</v>
      </c>
      <c r="AD66" s="14">
        <f>IF(X66&lt;=C66,MAIN!$L$7,IF(AND(X66&gt;C66,X66&lt;=C66+MAIN!$H$7),MAIN!$M$7,MAIN!$N$7))</f>
        <v>-1.2170000000000001</v>
      </c>
      <c r="AE66" t="str">
        <f>IF(AD66=MAIN!$L$7,"OUT",IF(AD66=MAIN!$M$7,"SINGLE",IF(AD66=MAIN!$N$7,"DOUBLE")))</f>
        <v>DOUBLE</v>
      </c>
      <c r="AF66" s="18">
        <f t="shared" si="5"/>
        <v>-1.2170000000000001</v>
      </c>
    </row>
    <row r="67" spans="1:32" x14ac:dyDescent="0.25">
      <c r="A67">
        <v>189.5</v>
      </c>
      <c r="B67">
        <v>118.35</v>
      </c>
      <c r="C67">
        <v>3.7757879701206929</v>
      </c>
      <c r="D67" t="s">
        <v>39</v>
      </c>
      <c r="E67" s="13">
        <f>SQRT((MAIN!$G$2-A67)^2+(MAIN!$I$2-B67)^2)</f>
        <v>39.509144511112865</v>
      </c>
      <c r="F67" t="s">
        <v>49</v>
      </c>
      <c r="G67" s="13">
        <f>MIN(MAIN!$R$2,E67/MAIN!$L$2)</f>
        <v>2</v>
      </c>
      <c r="H67" s="12">
        <f>(MAX(0,E67-(MAIN!$U$2)))/MAIN!$O$2</f>
        <v>3.0636430638891081</v>
      </c>
      <c r="J67" s="12">
        <f t="shared" si="2"/>
        <v>5.0636430638891081</v>
      </c>
      <c r="K67" t="s">
        <v>39</v>
      </c>
      <c r="L67" s="13">
        <f>SQRT((MAIN!$G$3-A67)^2+(MAIN!$I$3-B67)^2)</f>
        <v>102.68871651744412</v>
      </c>
      <c r="M67" t="s">
        <v>49</v>
      </c>
      <c r="N67" s="13">
        <f>MIN(MAIN!$R$3,L67/MAIN!$L$3)</f>
        <v>2</v>
      </c>
      <c r="O67" s="12">
        <f>(MAX(0,L67-(MAIN!$U$3)))/MAIN!$O$3</f>
        <v>8.8688716517444117</v>
      </c>
      <c r="Q67" s="19">
        <f t="shared" si="3"/>
        <v>10.868871651744412</v>
      </c>
      <c r="R67" t="s">
        <v>39</v>
      </c>
      <c r="S67" s="13">
        <f>SQRT((MAIN!$G$4-A67)^2+(MAIN!$I$4-B67)^2)</f>
        <v>140.70171463063269</v>
      </c>
      <c r="T67" t="s">
        <v>49</v>
      </c>
      <c r="U67" s="13">
        <f>MIN(MAIN!$R$4,S67/MAIN!$L$4)</f>
        <v>2</v>
      </c>
      <c r="V67" s="12">
        <f>(MAX(0,S67-(MAIN!$U$4)))/MAIN!$O$4</f>
        <v>15.712714328829087</v>
      </c>
      <c r="X67" s="19">
        <f t="shared" si="4"/>
        <v>17.712714328829087</v>
      </c>
      <c r="Y67" t="s">
        <v>39</v>
      </c>
      <c r="Z67" s="14">
        <f>IF(J67&lt;=C67,MAIN!$L$7,IF(AND(J67&gt;C67,J67&lt;=C67+MAIN!$H$7),MAIN!$M$7,MAIN!$N$7))</f>
        <v>-0.87</v>
      </c>
      <c r="AA67" t="str">
        <f>IF(Z67=MAIN!$L$7,"OUT",IF(Z67=MAIN!$M$7,"SINGLE",IF(Z67=MAIN!$N$7,"DOUBLE")))</f>
        <v>SINGLE</v>
      </c>
      <c r="AB67" s="14">
        <f>IF(Q67&lt;=C67,MAIN!$L$7,IF(AND(Q67&gt;C67,Q67&lt;=C67+MAIN!$H$7),MAIN!$M$7,MAIN!$N$7))</f>
        <v>-1.2170000000000001</v>
      </c>
      <c r="AC67" t="str">
        <f>IF(AB67=MAIN!$L$7,"OUT",IF(AB67=MAIN!$M$7,"SINGLE",IF(AB67=MAIN!$N$7,"DOUBLE")))</f>
        <v>DOUBLE</v>
      </c>
      <c r="AD67" s="14">
        <f>IF(X67&lt;=C67,MAIN!$L$7,IF(AND(X67&gt;C67,X67&lt;=C67+MAIN!$H$7),MAIN!$M$7,MAIN!$N$7))</f>
        <v>-1.2170000000000001</v>
      </c>
      <c r="AE67" t="str">
        <f>IF(AD67=MAIN!$L$7,"OUT",IF(AD67=MAIN!$M$7,"SINGLE",IF(AD67=MAIN!$N$7,"DOUBLE")))</f>
        <v>DOUBLE</v>
      </c>
      <c r="AF67" s="18">
        <f t="shared" si="5"/>
        <v>-0.87</v>
      </c>
    </row>
    <row r="68" spans="1:32" x14ac:dyDescent="0.25">
      <c r="A68">
        <v>218.88</v>
      </c>
      <c r="B68">
        <v>117.38</v>
      </c>
      <c r="C68">
        <v>3.3507981218250307</v>
      </c>
      <c r="D68" t="s">
        <v>39</v>
      </c>
      <c r="E68" s="13">
        <f>SQRT((MAIN!$G$2-A68)^2+(MAIN!$I$2-B68)^2)</f>
        <v>53.934393479485792</v>
      </c>
      <c r="F68" t="s">
        <v>49</v>
      </c>
      <c r="G68" s="13">
        <f>MIN(MAIN!$R$2,E68/MAIN!$L$2)</f>
        <v>2</v>
      </c>
      <c r="H68" s="12">
        <f>(MAX(0,E68-(MAIN!$U$2)))/MAIN!$O$2</f>
        <v>4.8667991849357239</v>
      </c>
      <c r="J68" s="12">
        <f t="shared" si="2"/>
        <v>6.8667991849357239</v>
      </c>
      <c r="K68" t="s">
        <v>39</v>
      </c>
      <c r="L68" s="13">
        <f>SQRT((MAIN!$G$3-A68)^2+(MAIN!$I$3-B68)^2)</f>
        <v>127.51909190391845</v>
      </c>
      <c r="M68" t="s">
        <v>49</v>
      </c>
      <c r="N68" s="13">
        <f>MIN(MAIN!$R$3,L68/MAIN!$L$3)</f>
        <v>2</v>
      </c>
      <c r="O68" s="12">
        <f>(MAX(0,L68-(MAIN!$U$3)))/MAIN!$O$3</f>
        <v>11.351909190391845</v>
      </c>
      <c r="Q68" s="19">
        <f t="shared" si="3"/>
        <v>13.351909190391845</v>
      </c>
      <c r="R68" t="s">
        <v>39</v>
      </c>
      <c r="S68" s="13">
        <f>SQRT((MAIN!$G$4-A68)^2+(MAIN!$I$4-B68)^2)</f>
        <v>169.77196117144902</v>
      </c>
      <c r="T68" t="s">
        <v>49</v>
      </c>
      <c r="U68" s="13">
        <f>MIN(MAIN!$R$4,S68/MAIN!$L$4)</f>
        <v>2</v>
      </c>
      <c r="V68" s="12">
        <f>(MAX(0,S68-(MAIN!$U$4)))/MAIN!$O$4</f>
        <v>19.346495146431128</v>
      </c>
      <c r="X68" s="19">
        <f t="shared" si="4"/>
        <v>21.346495146431128</v>
      </c>
      <c r="Y68" t="s">
        <v>39</v>
      </c>
      <c r="Z68" s="14">
        <f>IF(J68&lt;=C68,MAIN!$L$7,IF(AND(J68&gt;C68,J68&lt;=C68+MAIN!$H$7),MAIN!$M$7,MAIN!$N$7))</f>
        <v>-1.2170000000000001</v>
      </c>
      <c r="AA68" t="str">
        <f>IF(Z68=MAIN!$L$7,"OUT",IF(Z68=MAIN!$M$7,"SINGLE",IF(Z68=MAIN!$N$7,"DOUBLE")))</f>
        <v>DOUBLE</v>
      </c>
      <c r="AB68" s="14">
        <f>IF(Q68&lt;=C68,MAIN!$L$7,IF(AND(Q68&gt;C68,Q68&lt;=C68+MAIN!$H$7),MAIN!$M$7,MAIN!$N$7))</f>
        <v>-1.2170000000000001</v>
      </c>
      <c r="AC68" t="str">
        <f>IF(AB68=MAIN!$L$7,"OUT",IF(AB68=MAIN!$M$7,"SINGLE",IF(AB68=MAIN!$N$7,"DOUBLE")))</f>
        <v>DOUBLE</v>
      </c>
      <c r="AD68" s="14">
        <f>IF(X68&lt;=C68,MAIN!$L$7,IF(AND(X68&gt;C68,X68&lt;=C68+MAIN!$H$7),MAIN!$M$7,MAIN!$N$7))</f>
        <v>-1.2170000000000001</v>
      </c>
      <c r="AE68" t="str">
        <f>IF(AD68=MAIN!$L$7,"OUT",IF(AD68=MAIN!$M$7,"SINGLE",IF(AD68=MAIN!$N$7,"DOUBLE")))</f>
        <v>DOUBLE</v>
      </c>
      <c r="AF68" s="18">
        <f t="shared" si="5"/>
        <v>-1.2170000000000001</v>
      </c>
    </row>
    <row r="69" spans="1:32" x14ac:dyDescent="0.25">
      <c r="A69">
        <v>81.88</v>
      </c>
      <c r="B69">
        <v>117.17</v>
      </c>
      <c r="C69">
        <v>2.4997396605607478</v>
      </c>
      <c r="D69" t="s">
        <v>39</v>
      </c>
      <c r="E69" s="13">
        <f>SQRT((MAIN!$G$2-A69)^2+(MAIN!$I$2-B69)^2)</f>
        <v>104.92446473535141</v>
      </c>
      <c r="F69" t="s">
        <v>49</v>
      </c>
      <c r="G69" s="13">
        <f>MIN(MAIN!$R$2,E69/MAIN!$L$2)</f>
        <v>2</v>
      </c>
      <c r="H69" s="12">
        <f>(MAX(0,E69-(MAIN!$U$2)))/MAIN!$O$2</f>
        <v>11.240558091918926</v>
      </c>
      <c r="J69" s="12">
        <f t="shared" si="2"/>
        <v>13.240558091918926</v>
      </c>
      <c r="K69" t="s">
        <v>39</v>
      </c>
      <c r="L69" s="13">
        <f>SQRT((MAIN!$G$3-A69)^2+(MAIN!$I$3-B69)^2)</f>
        <v>61.668008724135085</v>
      </c>
      <c r="M69" t="s">
        <v>49</v>
      </c>
      <c r="N69" s="13">
        <f>MIN(MAIN!$R$3,L69/MAIN!$L$3)</f>
        <v>2</v>
      </c>
      <c r="O69" s="12">
        <f>(MAX(0,L69-(MAIN!$U$3)))/MAIN!$O$3</f>
        <v>4.7668008724135085</v>
      </c>
      <c r="Q69" s="19">
        <f t="shared" si="3"/>
        <v>6.7668008724135085</v>
      </c>
      <c r="R69" t="s">
        <v>39</v>
      </c>
      <c r="S69" s="13">
        <f>SQRT((MAIN!$G$4-A69)^2+(MAIN!$I$4-B69)^2)</f>
        <v>36.209712785383978</v>
      </c>
      <c r="T69" t="s">
        <v>49</v>
      </c>
      <c r="U69" s="13">
        <f>MIN(MAIN!$R$4,S69/MAIN!$L$4)</f>
        <v>2</v>
      </c>
      <c r="V69" s="12">
        <f>(MAX(0,S69-(MAIN!$U$4)))/MAIN!$O$4</f>
        <v>2.6512140981729972</v>
      </c>
      <c r="X69" s="19">
        <f t="shared" si="4"/>
        <v>4.6512140981729972</v>
      </c>
      <c r="Y69" t="s">
        <v>39</v>
      </c>
      <c r="Z69" s="14">
        <f>IF(J69&lt;=C69,MAIN!$L$7,IF(AND(J69&gt;C69,J69&lt;=C69+MAIN!$H$7),MAIN!$M$7,MAIN!$N$7))</f>
        <v>-1.2170000000000001</v>
      </c>
      <c r="AA69" t="str">
        <f>IF(Z69=MAIN!$L$7,"OUT",IF(Z69=MAIN!$M$7,"SINGLE",IF(Z69=MAIN!$N$7,"DOUBLE")))</f>
        <v>DOUBLE</v>
      </c>
      <c r="AB69" s="14">
        <f>IF(Q69&lt;=C69,MAIN!$L$7,IF(AND(Q69&gt;C69,Q69&lt;=C69+MAIN!$H$7),MAIN!$M$7,MAIN!$N$7))</f>
        <v>-1.2170000000000001</v>
      </c>
      <c r="AC69" t="str">
        <f>IF(AB69=MAIN!$L$7,"OUT",IF(AB69=MAIN!$M$7,"SINGLE",IF(AB69=MAIN!$N$7,"DOUBLE")))</f>
        <v>DOUBLE</v>
      </c>
      <c r="AD69" s="14">
        <f>IF(X69&lt;=C69,MAIN!$L$7,IF(AND(X69&gt;C69,X69&lt;=C69+MAIN!$H$7),MAIN!$M$7,MAIN!$N$7))</f>
        <v>-1.2170000000000001</v>
      </c>
      <c r="AE69" t="str">
        <f>IF(AD69=MAIN!$L$7,"OUT",IF(AD69=MAIN!$M$7,"SINGLE",IF(AD69=MAIN!$N$7,"DOUBLE")))</f>
        <v>DOUBLE</v>
      </c>
      <c r="AF69" s="18">
        <f t="shared" si="5"/>
        <v>-1.2170000000000001</v>
      </c>
    </row>
    <row r="70" spans="1:32" x14ac:dyDescent="0.25">
      <c r="A70">
        <v>65.64</v>
      </c>
      <c r="B70">
        <v>116.78</v>
      </c>
      <c r="C70">
        <v>2.6239654766251395</v>
      </c>
      <c r="D70" t="s">
        <v>39</v>
      </c>
      <c r="E70" s="13">
        <f>SQRT((MAIN!$G$2-A70)^2+(MAIN!$I$2-B70)^2)</f>
        <v>120.12900565641922</v>
      </c>
      <c r="F70" t="s">
        <v>49</v>
      </c>
      <c r="G70" s="13">
        <f>MIN(MAIN!$R$2,E70/MAIN!$L$2)</f>
        <v>2</v>
      </c>
      <c r="H70" s="12">
        <f>(MAX(0,E70-(MAIN!$U$2)))/MAIN!$O$2</f>
        <v>13.141125707052403</v>
      </c>
      <c r="J70" s="12">
        <f t="shared" si="2"/>
        <v>15.141125707052403</v>
      </c>
      <c r="K70" t="s">
        <v>39</v>
      </c>
      <c r="L70" s="13">
        <f>SQRT((MAIN!$G$3-A70)^2+(MAIN!$I$3-B70)^2)</f>
        <v>69.088190018265777</v>
      </c>
      <c r="M70" t="s">
        <v>49</v>
      </c>
      <c r="N70" s="13">
        <f>MIN(MAIN!$R$3,L70/MAIN!$L$3)</f>
        <v>2</v>
      </c>
      <c r="O70" s="12">
        <f>(MAX(0,L70-(MAIN!$U$3)))/MAIN!$O$3</f>
        <v>5.5088190018265779</v>
      </c>
      <c r="Q70" s="19">
        <f t="shared" si="3"/>
        <v>7.5088190018265779</v>
      </c>
      <c r="R70" t="s">
        <v>39</v>
      </c>
      <c r="S70" s="13">
        <f>SQRT((MAIN!$G$4-A70)^2+(MAIN!$I$4-B70)^2)</f>
        <v>22.93857013852433</v>
      </c>
      <c r="T70" t="s">
        <v>49</v>
      </c>
      <c r="U70" s="13">
        <f>MIN(MAIN!$R$4,S70/MAIN!$L$4)</f>
        <v>2</v>
      </c>
      <c r="V70" s="12">
        <f>(MAX(0,S70-(MAIN!$U$4)))/MAIN!$O$4</f>
        <v>0.99232126731554127</v>
      </c>
      <c r="X70" s="19">
        <f t="shared" si="4"/>
        <v>2.9923212673155413</v>
      </c>
      <c r="Y70" t="s">
        <v>39</v>
      </c>
      <c r="Z70" s="14">
        <f>IF(J70&lt;=C70,MAIN!$L$7,IF(AND(J70&gt;C70,J70&lt;=C70+MAIN!$H$7),MAIN!$M$7,MAIN!$N$7))</f>
        <v>-1.2170000000000001</v>
      </c>
      <c r="AA70" t="str">
        <f>IF(Z70=MAIN!$L$7,"OUT",IF(Z70=MAIN!$M$7,"SINGLE",IF(Z70=MAIN!$N$7,"DOUBLE")))</f>
        <v>DOUBLE</v>
      </c>
      <c r="AB70" s="14">
        <f>IF(Q70&lt;=C70,MAIN!$L$7,IF(AND(Q70&gt;C70,Q70&lt;=C70+MAIN!$H$7),MAIN!$M$7,MAIN!$N$7))</f>
        <v>-1.2170000000000001</v>
      </c>
      <c r="AC70" t="str">
        <f>IF(AB70=MAIN!$L$7,"OUT",IF(AB70=MAIN!$M$7,"SINGLE",IF(AB70=MAIN!$N$7,"DOUBLE")))</f>
        <v>DOUBLE</v>
      </c>
      <c r="AD70" s="14">
        <f>IF(X70&lt;=C70,MAIN!$L$7,IF(AND(X70&gt;C70,X70&lt;=C70+MAIN!$H$7),MAIN!$M$7,MAIN!$N$7))</f>
        <v>-0.87</v>
      </c>
      <c r="AE70" t="str">
        <f>IF(AD70=MAIN!$L$7,"OUT",IF(AD70=MAIN!$M$7,"SINGLE",IF(AD70=MAIN!$N$7,"DOUBLE")))</f>
        <v>SINGLE</v>
      </c>
      <c r="AF70" s="18">
        <f t="shared" si="5"/>
        <v>-0.87</v>
      </c>
    </row>
    <row r="71" spans="1:32" x14ac:dyDescent="0.25">
      <c r="A71">
        <v>151.26</v>
      </c>
      <c r="B71">
        <v>116.58</v>
      </c>
      <c r="C71">
        <v>3.8754855785893567</v>
      </c>
      <c r="D71" t="s">
        <v>39</v>
      </c>
      <c r="E71" s="13">
        <f>SQRT((MAIN!$G$2-A71)^2+(MAIN!$I$2-B71)^2)</f>
        <v>46.519716250209441</v>
      </c>
      <c r="F71" t="s">
        <v>49</v>
      </c>
      <c r="G71" s="13">
        <f>MIN(MAIN!$R$2,E71/MAIN!$L$2)</f>
        <v>2</v>
      </c>
      <c r="H71" s="12">
        <f>(MAX(0,E71-(MAIN!$U$2)))/MAIN!$O$2</f>
        <v>3.9399645312761802</v>
      </c>
      <c r="J71" s="12">
        <f t="shared" si="2"/>
        <v>5.9399645312761802</v>
      </c>
      <c r="K71" t="s">
        <v>39</v>
      </c>
      <c r="L71" s="13">
        <f>SQRT((MAIN!$G$3-A71)^2+(MAIN!$I$3-B71)^2)</f>
        <v>73.084088555580948</v>
      </c>
      <c r="M71" t="s">
        <v>49</v>
      </c>
      <c r="N71" s="13">
        <f>MIN(MAIN!$R$3,L71/MAIN!$L$3)</f>
        <v>2</v>
      </c>
      <c r="O71" s="12">
        <f>(MAX(0,L71-(MAIN!$U$3)))/MAIN!$O$3</f>
        <v>5.9084088555580951</v>
      </c>
      <c r="Q71" s="19">
        <f t="shared" si="3"/>
        <v>7.9084088555580951</v>
      </c>
      <c r="R71" t="s">
        <v>39</v>
      </c>
      <c r="S71" s="13">
        <f>SQRT((MAIN!$G$4-A71)^2+(MAIN!$I$4-B71)^2)</f>
        <v>102.60840121549501</v>
      </c>
      <c r="T71" t="s">
        <v>49</v>
      </c>
      <c r="U71" s="13">
        <f>MIN(MAIN!$R$4,S71/MAIN!$L$4)</f>
        <v>2</v>
      </c>
      <c r="V71" s="12">
        <f>(MAX(0,S71-(MAIN!$U$4)))/MAIN!$O$4</f>
        <v>10.951050151936876</v>
      </c>
      <c r="X71" s="19">
        <f t="shared" si="4"/>
        <v>12.951050151936876</v>
      </c>
      <c r="Y71" t="s">
        <v>39</v>
      </c>
      <c r="Z71" s="14">
        <f>IF(J71&lt;=C71,MAIN!$L$7,IF(AND(J71&gt;C71,J71&lt;=C71+MAIN!$H$7),MAIN!$M$7,MAIN!$N$7))</f>
        <v>-1.2170000000000001</v>
      </c>
      <c r="AA71" t="str">
        <f>IF(Z71=MAIN!$L$7,"OUT",IF(Z71=MAIN!$M$7,"SINGLE",IF(Z71=MAIN!$N$7,"DOUBLE")))</f>
        <v>DOUBLE</v>
      </c>
      <c r="AB71" s="14">
        <f>IF(Q71&lt;=C71,MAIN!$L$7,IF(AND(Q71&gt;C71,Q71&lt;=C71+MAIN!$H$7),MAIN!$M$7,MAIN!$N$7))</f>
        <v>-1.2170000000000001</v>
      </c>
      <c r="AC71" t="str">
        <f>IF(AB71=MAIN!$L$7,"OUT",IF(AB71=MAIN!$M$7,"SINGLE",IF(AB71=MAIN!$N$7,"DOUBLE")))</f>
        <v>DOUBLE</v>
      </c>
      <c r="AD71" s="14">
        <f>IF(X71&lt;=C71,MAIN!$L$7,IF(AND(X71&gt;C71,X71&lt;=C71+MAIN!$H$7),MAIN!$M$7,MAIN!$N$7))</f>
        <v>-1.2170000000000001</v>
      </c>
      <c r="AE71" t="str">
        <f>IF(AD71=MAIN!$L$7,"OUT",IF(AD71=MAIN!$M$7,"SINGLE",IF(AD71=MAIN!$N$7,"DOUBLE")))</f>
        <v>DOUBLE</v>
      </c>
      <c r="AF71" s="18">
        <f t="shared" si="5"/>
        <v>-1.2170000000000001</v>
      </c>
    </row>
    <row r="72" spans="1:32" x14ac:dyDescent="0.25">
      <c r="A72">
        <v>178.25</v>
      </c>
      <c r="B72">
        <v>116.18</v>
      </c>
      <c r="C72">
        <v>5.3530075800707886</v>
      </c>
      <c r="D72" t="s">
        <v>39</v>
      </c>
      <c r="E72" s="13">
        <f>SQRT((MAIN!$G$2-A72)^2+(MAIN!$I$2-B72)^2)</f>
        <v>36.222298380969704</v>
      </c>
      <c r="F72" t="s">
        <v>49</v>
      </c>
      <c r="G72" s="13">
        <f>MIN(MAIN!$R$2,E72/MAIN!$L$2)</f>
        <v>2</v>
      </c>
      <c r="H72" s="12">
        <f>(MAX(0,E72-(MAIN!$U$2)))/MAIN!$O$2</f>
        <v>2.652787297621213</v>
      </c>
      <c r="J72" s="12">
        <f t="shared" si="2"/>
        <v>4.652787297621213</v>
      </c>
      <c r="K72" t="s">
        <v>39</v>
      </c>
      <c r="L72" s="13">
        <f>SQRT((MAIN!$G$3-A72)^2+(MAIN!$I$3-B72)^2)</f>
        <v>92.31335168869127</v>
      </c>
      <c r="M72" t="s">
        <v>49</v>
      </c>
      <c r="N72" s="13">
        <f>MIN(MAIN!$R$3,L72/MAIN!$L$3)</f>
        <v>2</v>
      </c>
      <c r="O72" s="12">
        <f>(MAX(0,L72-(MAIN!$U$3)))/MAIN!$O$3</f>
        <v>7.8313351688691268</v>
      </c>
      <c r="Q72" s="19">
        <f t="shared" si="3"/>
        <v>9.8313351688691277</v>
      </c>
      <c r="R72" t="s">
        <v>39</v>
      </c>
      <c r="S72" s="13">
        <f>SQRT((MAIN!$G$4-A72)^2+(MAIN!$I$4-B72)^2)</f>
        <v>129.26660396250841</v>
      </c>
      <c r="T72" t="s">
        <v>49</v>
      </c>
      <c r="U72" s="13">
        <f>MIN(MAIN!$R$4,S72/MAIN!$L$4)</f>
        <v>2</v>
      </c>
      <c r="V72" s="12">
        <f>(MAX(0,S72-(MAIN!$U$4)))/MAIN!$O$4</f>
        <v>14.283325495313552</v>
      </c>
      <c r="X72" s="19">
        <f t="shared" si="4"/>
        <v>16.283325495313552</v>
      </c>
      <c r="Y72" t="s">
        <v>39</v>
      </c>
      <c r="Z72" s="14">
        <f>IF(J72&lt;=C72,MAIN!$L$7,IF(AND(J72&gt;C72,J72&lt;=C72+MAIN!$H$7),MAIN!$M$7,MAIN!$N$7))</f>
        <v>0.3</v>
      </c>
      <c r="AA72" t="str">
        <f>IF(Z72=MAIN!$L$7,"OUT",IF(Z72=MAIN!$M$7,"SINGLE",IF(Z72=MAIN!$N$7,"DOUBLE")))</f>
        <v>OUT</v>
      </c>
      <c r="AB72" s="14">
        <f>IF(Q72&lt;=C72,MAIN!$L$7,IF(AND(Q72&gt;C72,Q72&lt;=C72+MAIN!$H$7),MAIN!$M$7,MAIN!$N$7))</f>
        <v>-1.2170000000000001</v>
      </c>
      <c r="AC72" t="str">
        <f>IF(AB72=MAIN!$L$7,"OUT",IF(AB72=MAIN!$M$7,"SINGLE",IF(AB72=MAIN!$N$7,"DOUBLE")))</f>
        <v>DOUBLE</v>
      </c>
      <c r="AD72" s="14">
        <f>IF(X72&lt;=C72,MAIN!$L$7,IF(AND(X72&gt;C72,X72&lt;=C72+MAIN!$H$7),MAIN!$M$7,MAIN!$N$7))</f>
        <v>-1.2170000000000001</v>
      </c>
      <c r="AE72" t="str">
        <f>IF(AD72=MAIN!$L$7,"OUT",IF(AD72=MAIN!$M$7,"SINGLE",IF(AD72=MAIN!$N$7,"DOUBLE")))</f>
        <v>DOUBLE</v>
      </c>
      <c r="AF72" s="18">
        <f t="shared" si="5"/>
        <v>0.3</v>
      </c>
    </row>
    <row r="73" spans="1:32" x14ac:dyDescent="0.25">
      <c r="A73">
        <v>61.56</v>
      </c>
      <c r="B73">
        <v>115.65</v>
      </c>
      <c r="C73">
        <v>1.9245784297989745</v>
      </c>
      <c r="D73" t="s">
        <v>39</v>
      </c>
      <c r="E73" s="13">
        <f>SQRT((MAIN!$G$2-A73)^2+(MAIN!$I$2-B73)^2)</f>
        <v>123.68894898090127</v>
      </c>
      <c r="F73" t="s">
        <v>49</v>
      </c>
      <c r="G73" s="13">
        <f>MIN(MAIN!$R$2,E73/MAIN!$L$2)</f>
        <v>2</v>
      </c>
      <c r="H73" s="12">
        <f>(MAX(0,E73-(MAIN!$U$2)))/MAIN!$O$2</f>
        <v>13.586118622612659</v>
      </c>
      <c r="J73" s="12">
        <f t="shared" si="2"/>
        <v>15.586118622612659</v>
      </c>
      <c r="K73" t="s">
        <v>39</v>
      </c>
      <c r="L73" s="13">
        <f>SQRT((MAIN!$G$3-A73)^2+(MAIN!$I$3-B73)^2)</f>
        <v>70.597139460462557</v>
      </c>
      <c r="M73" t="s">
        <v>49</v>
      </c>
      <c r="N73" s="13">
        <f>MIN(MAIN!$R$3,L73/MAIN!$L$3)</f>
        <v>2</v>
      </c>
      <c r="O73" s="12">
        <f>(MAX(0,L73-(MAIN!$U$3)))/MAIN!$O$3</f>
        <v>5.6597139460462556</v>
      </c>
      <c r="Q73" s="19">
        <f t="shared" si="3"/>
        <v>7.6597139460462556</v>
      </c>
      <c r="R73" t="s">
        <v>39</v>
      </c>
      <c r="S73" s="13">
        <f>SQRT((MAIN!$G$4-A73)^2+(MAIN!$I$4-B73)^2)</f>
        <v>19.456518188000654</v>
      </c>
      <c r="T73" t="s">
        <v>49</v>
      </c>
      <c r="U73" s="13">
        <f>MIN(MAIN!$R$4,S73/MAIN!$L$4)</f>
        <v>2</v>
      </c>
      <c r="V73" s="12">
        <f>(MAX(0,S73-(MAIN!$U$4)))/MAIN!$O$4</f>
        <v>0.55706477350008177</v>
      </c>
      <c r="X73" s="19">
        <f t="shared" si="4"/>
        <v>2.5570647735000818</v>
      </c>
      <c r="Y73" t="s">
        <v>39</v>
      </c>
      <c r="Z73" s="14">
        <f>IF(J73&lt;=C73,MAIN!$L$7,IF(AND(J73&gt;C73,J73&lt;=C73+MAIN!$H$7),MAIN!$M$7,MAIN!$N$7))</f>
        <v>-1.2170000000000001</v>
      </c>
      <c r="AA73" t="str">
        <f>IF(Z73=MAIN!$L$7,"OUT",IF(Z73=MAIN!$M$7,"SINGLE",IF(Z73=MAIN!$N$7,"DOUBLE")))</f>
        <v>DOUBLE</v>
      </c>
      <c r="AB73" s="14">
        <f>IF(Q73&lt;=C73,MAIN!$L$7,IF(AND(Q73&gt;C73,Q73&lt;=C73+MAIN!$H$7),MAIN!$M$7,MAIN!$N$7))</f>
        <v>-1.2170000000000001</v>
      </c>
      <c r="AC73" t="str">
        <f>IF(AB73=MAIN!$L$7,"OUT",IF(AB73=MAIN!$M$7,"SINGLE",IF(AB73=MAIN!$N$7,"DOUBLE")))</f>
        <v>DOUBLE</v>
      </c>
      <c r="AD73" s="14">
        <f>IF(X73&lt;=C73,MAIN!$L$7,IF(AND(X73&gt;C73,X73&lt;=C73+MAIN!$H$7),MAIN!$M$7,MAIN!$N$7))</f>
        <v>-0.87</v>
      </c>
      <c r="AE73" t="str">
        <f>IF(AD73=MAIN!$L$7,"OUT",IF(AD73=MAIN!$M$7,"SINGLE",IF(AD73=MAIN!$N$7,"DOUBLE")))</f>
        <v>SINGLE</v>
      </c>
      <c r="AF73" s="18">
        <f t="shared" si="5"/>
        <v>-0.87</v>
      </c>
    </row>
    <row r="74" spans="1:32" x14ac:dyDescent="0.25">
      <c r="A74">
        <v>177.7</v>
      </c>
      <c r="B74">
        <v>115.63</v>
      </c>
      <c r="C74">
        <v>4.3760966020626579</v>
      </c>
      <c r="D74" t="s">
        <v>39</v>
      </c>
      <c r="E74" s="13">
        <f>SQRT((MAIN!$G$2-A74)^2+(MAIN!$I$2-B74)^2)</f>
        <v>35.704158021160502</v>
      </c>
      <c r="F74" t="s">
        <v>49</v>
      </c>
      <c r="G74" s="13">
        <f>MIN(MAIN!$R$2,E74/MAIN!$L$2)</f>
        <v>2</v>
      </c>
      <c r="H74" s="12">
        <f>(MAX(0,E74-(MAIN!$U$2)))/MAIN!$O$2</f>
        <v>2.5880197526450628</v>
      </c>
      <c r="J74" s="12">
        <f t="shared" si="2"/>
        <v>4.5880197526450628</v>
      </c>
      <c r="K74" t="s">
        <v>39</v>
      </c>
      <c r="L74" s="13">
        <f>SQRT((MAIN!$G$3-A74)^2+(MAIN!$I$3-B74)^2)</f>
        <v>91.542268379148211</v>
      </c>
      <c r="M74" t="s">
        <v>49</v>
      </c>
      <c r="N74" s="13">
        <f>MIN(MAIN!$R$3,L74/MAIN!$L$3)</f>
        <v>2</v>
      </c>
      <c r="O74" s="12">
        <f>(MAX(0,L74-(MAIN!$U$3)))/MAIN!$O$3</f>
        <v>7.7542268379148211</v>
      </c>
      <c r="Q74" s="19">
        <f t="shared" si="3"/>
        <v>9.7542268379148211</v>
      </c>
      <c r="R74" t="s">
        <v>39</v>
      </c>
      <c r="S74" s="13">
        <f>SQRT((MAIN!$G$4-A74)^2+(MAIN!$I$4-B74)^2)</f>
        <v>128.65297081684511</v>
      </c>
      <c r="T74" t="s">
        <v>49</v>
      </c>
      <c r="U74" s="13">
        <f>MIN(MAIN!$R$4,S74/MAIN!$L$4)</f>
        <v>2</v>
      </c>
      <c r="V74" s="12">
        <f>(MAX(0,S74-(MAIN!$U$4)))/MAIN!$O$4</f>
        <v>14.206621352105639</v>
      </c>
      <c r="X74" s="19">
        <f t="shared" si="4"/>
        <v>16.206621352105639</v>
      </c>
      <c r="Y74" t="s">
        <v>39</v>
      </c>
      <c r="Z74" s="14">
        <f>IF(J74&lt;=C74,MAIN!$L$7,IF(AND(J74&gt;C74,J74&lt;=C74+MAIN!$H$7),MAIN!$M$7,MAIN!$N$7))</f>
        <v>-0.87</v>
      </c>
      <c r="AA74" t="str">
        <f>IF(Z74=MAIN!$L$7,"OUT",IF(Z74=MAIN!$M$7,"SINGLE",IF(Z74=MAIN!$N$7,"DOUBLE")))</f>
        <v>SINGLE</v>
      </c>
      <c r="AB74" s="14">
        <f>IF(Q74&lt;=C74,MAIN!$L$7,IF(AND(Q74&gt;C74,Q74&lt;=C74+MAIN!$H$7),MAIN!$M$7,MAIN!$N$7))</f>
        <v>-1.2170000000000001</v>
      </c>
      <c r="AC74" t="str">
        <f>IF(AB74=MAIN!$L$7,"OUT",IF(AB74=MAIN!$M$7,"SINGLE",IF(AB74=MAIN!$N$7,"DOUBLE")))</f>
        <v>DOUBLE</v>
      </c>
      <c r="AD74" s="14">
        <f>IF(X74&lt;=C74,MAIN!$L$7,IF(AND(X74&gt;C74,X74&lt;=C74+MAIN!$H$7),MAIN!$M$7,MAIN!$N$7))</f>
        <v>-1.2170000000000001</v>
      </c>
      <c r="AE74" t="str">
        <f>IF(AD74=MAIN!$L$7,"OUT",IF(AD74=MAIN!$M$7,"SINGLE",IF(AD74=MAIN!$N$7,"DOUBLE")))</f>
        <v>DOUBLE</v>
      </c>
      <c r="AF74" s="18">
        <f t="shared" si="5"/>
        <v>-0.87</v>
      </c>
    </row>
    <row r="75" spans="1:32" x14ac:dyDescent="0.25">
      <c r="A75">
        <v>133.87</v>
      </c>
      <c r="B75">
        <v>115.27</v>
      </c>
      <c r="C75">
        <v>2.1690737348733844</v>
      </c>
      <c r="D75" t="s">
        <v>39</v>
      </c>
      <c r="E75" s="13">
        <f>SQRT((MAIN!$G$2-A75)^2+(MAIN!$I$2-B75)^2)</f>
        <v>58.068492317262717</v>
      </c>
      <c r="F75" t="s">
        <v>49</v>
      </c>
      <c r="G75" s="13">
        <f>MIN(MAIN!$R$2,E75/MAIN!$L$2)</f>
        <v>2</v>
      </c>
      <c r="H75" s="12">
        <f>(MAX(0,E75-(MAIN!$U$2)))/MAIN!$O$2</f>
        <v>5.3835615396578396</v>
      </c>
      <c r="J75" s="12">
        <f t="shared" si="2"/>
        <v>7.3835615396578396</v>
      </c>
      <c r="K75" t="s">
        <v>39</v>
      </c>
      <c r="L75" s="13">
        <f>SQRT((MAIN!$G$3-A75)^2+(MAIN!$I$3-B75)^2)</f>
        <v>62.355832124990521</v>
      </c>
      <c r="M75" t="s">
        <v>49</v>
      </c>
      <c r="N75" s="13">
        <f>MIN(MAIN!$R$3,L75/MAIN!$L$3)</f>
        <v>2</v>
      </c>
      <c r="O75" s="12">
        <f>(MAX(0,L75-(MAIN!$U$3)))/MAIN!$O$3</f>
        <v>4.8355832124990519</v>
      </c>
      <c r="Q75" s="19">
        <f t="shared" si="3"/>
        <v>6.8355832124990519</v>
      </c>
      <c r="R75" t="s">
        <v>39</v>
      </c>
      <c r="S75" s="13">
        <f>SQRT((MAIN!$G$4-A75)^2+(MAIN!$I$4-B75)^2)</f>
        <v>85.248752483540784</v>
      </c>
      <c r="T75" t="s">
        <v>49</v>
      </c>
      <c r="U75" s="13">
        <f>MIN(MAIN!$R$4,S75/MAIN!$L$4)</f>
        <v>2</v>
      </c>
      <c r="V75" s="12">
        <f>(MAX(0,S75-(MAIN!$U$4)))/MAIN!$O$4</f>
        <v>8.781094060442598</v>
      </c>
      <c r="X75" s="19">
        <f t="shared" si="4"/>
        <v>10.781094060442598</v>
      </c>
      <c r="Y75" t="s">
        <v>39</v>
      </c>
      <c r="Z75" s="14">
        <f>IF(J75&lt;=C75,MAIN!$L$7,IF(AND(J75&gt;C75,J75&lt;=C75+MAIN!$H$7),MAIN!$M$7,MAIN!$N$7))</f>
        <v>-1.2170000000000001</v>
      </c>
      <c r="AA75" t="str">
        <f>IF(Z75=MAIN!$L$7,"OUT",IF(Z75=MAIN!$M$7,"SINGLE",IF(Z75=MAIN!$N$7,"DOUBLE")))</f>
        <v>DOUBLE</v>
      </c>
      <c r="AB75" s="14">
        <f>IF(Q75&lt;=C75,MAIN!$L$7,IF(AND(Q75&gt;C75,Q75&lt;=C75+MAIN!$H$7),MAIN!$M$7,MAIN!$N$7))</f>
        <v>-1.2170000000000001</v>
      </c>
      <c r="AC75" t="str">
        <f>IF(AB75=MAIN!$L$7,"OUT",IF(AB75=MAIN!$M$7,"SINGLE",IF(AB75=MAIN!$N$7,"DOUBLE")))</f>
        <v>DOUBLE</v>
      </c>
      <c r="AD75" s="14">
        <f>IF(X75&lt;=C75,MAIN!$L$7,IF(AND(X75&gt;C75,X75&lt;=C75+MAIN!$H$7),MAIN!$M$7,MAIN!$N$7))</f>
        <v>-1.2170000000000001</v>
      </c>
      <c r="AE75" t="str">
        <f>IF(AD75=MAIN!$L$7,"OUT",IF(AD75=MAIN!$M$7,"SINGLE",IF(AD75=MAIN!$N$7,"DOUBLE")))</f>
        <v>DOUBLE</v>
      </c>
      <c r="AF75" s="18">
        <f t="shared" si="5"/>
        <v>-1.2170000000000001</v>
      </c>
    </row>
    <row r="76" spans="1:32" x14ac:dyDescent="0.25">
      <c r="A76">
        <v>193.08</v>
      </c>
      <c r="B76">
        <v>114.96</v>
      </c>
      <c r="C76">
        <v>1.4262127204369643</v>
      </c>
      <c r="D76" t="s">
        <v>39</v>
      </c>
      <c r="E76" s="13">
        <f>SQRT((MAIN!$G$2-A76)^2+(MAIN!$I$2-B76)^2)</f>
        <v>37.326773233163351</v>
      </c>
      <c r="F76" t="s">
        <v>49</v>
      </c>
      <c r="G76" s="13">
        <f>MIN(MAIN!$R$2,E76/MAIN!$L$2)</f>
        <v>2</v>
      </c>
      <c r="H76" s="12">
        <f>(MAX(0,E76-(MAIN!$U$2)))/MAIN!$O$2</f>
        <v>2.7908466541454189</v>
      </c>
      <c r="J76" s="12">
        <f t="shared" si="2"/>
        <v>4.7908466541454189</v>
      </c>
      <c r="K76" t="s">
        <v>39</v>
      </c>
      <c r="L76" s="13">
        <f>SQRT((MAIN!$G$3-A76)^2+(MAIN!$I$3-B76)^2)</f>
        <v>103.8204604112311</v>
      </c>
      <c r="M76" t="s">
        <v>49</v>
      </c>
      <c r="N76" s="13">
        <f>MIN(MAIN!$R$3,L76/MAIN!$L$3)</f>
        <v>2</v>
      </c>
      <c r="O76" s="12">
        <f>(MAX(0,L76-(MAIN!$U$3)))/MAIN!$O$3</f>
        <v>8.9820460411231089</v>
      </c>
      <c r="Q76" s="19">
        <f t="shared" si="3"/>
        <v>10.982046041123109</v>
      </c>
      <c r="R76" t="s">
        <v>39</v>
      </c>
      <c r="S76" s="13">
        <f>SQRT((MAIN!$G$4-A76)^2+(MAIN!$I$4-B76)^2)</f>
        <v>143.85995968301953</v>
      </c>
      <c r="T76" t="s">
        <v>49</v>
      </c>
      <c r="U76" s="13">
        <f>MIN(MAIN!$R$4,S76/MAIN!$L$4)</f>
        <v>2</v>
      </c>
      <c r="V76" s="12">
        <f>(MAX(0,S76-(MAIN!$U$4)))/MAIN!$O$4</f>
        <v>16.107494960377441</v>
      </c>
      <c r="X76" s="19">
        <f t="shared" si="4"/>
        <v>18.107494960377441</v>
      </c>
      <c r="Y76" t="s">
        <v>39</v>
      </c>
      <c r="Z76" s="14">
        <f>IF(J76&lt;=C76,MAIN!$L$7,IF(AND(J76&gt;C76,J76&lt;=C76+MAIN!$H$7),MAIN!$M$7,MAIN!$N$7))</f>
        <v>-1.2170000000000001</v>
      </c>
      <c r="AA76" t="str">
        <f>IF(Z76=MAIN!$L$7,"OUT",IF(Z76=MAIN!$M$7,"SINGLE",IF(Z76=MAIN!$N$7,"DOUBLE")))</f>
        <v>DOUBLE</v>
      </c>
      <c r="AB76" s="14">
        <f>IF(Q76&lt;=C76,MAIN!$L$7,IF(AND(Q76&gt;C76,Q76&lt;=C76+MAIN!$H$7),MAIN!$M$7,MAIN!$N$7))</f>
        <v>-1.2170000000000001</v>
      </c>
      <c r="AC76" t="str">
        <f>IF(AB76=MAIN!$L$7,"OUT",IF(AB76=MAIN!$M$7,"SINGLE",IF(AB76=MAIN!$N$7,"DOUBLE")))</f>
        <v>DOUBLE</v>
      </c>
      <c r="AD76" s="14">
        <f>IF(X76&lt;=C76,MAIN!$L$7,IF(AND(X76&gt;C76,X76&lt;=C76+MAIN!$H$7),MAIN!$M$7,MAIN!$N$7))</f>
        <v>-1.2170000000000001</v>
      </c>
      <c r="AE76" t="str">
        <f>IF(AD76=MAIN!$L$7,"OUT",IF(AD76=MAIN!$M$7,"SINGLE",IF(AD76=MAIN!$N$7,"DOUBLE")))</f>
        <v>DOUBLE</v>
      </c>
      <c r="AF76" s="18">
        <f t="shared" si="5"/>
        <v>-1.2170000000000001</v>
      </c>
    </row>
    <row r="77" spans="1:32" x14ac:dyDescent="0.25">
      <c r="A77">
        <v>128.69999999999999</v>
      </c>
      <c r="B77">
        <v>111.93</v>
      </c>
      <c r="C77">
        <v>3.6458522133592823</v>
      </c>
      <c r="D77" t="s">
        <v>39</v>
      </c>
      <c r="E77" s="13">
        <f>SQRT((MAIN!$G$2-A77)^2+(MAIN!$I$2-B77)^2)</f>
        <v>60.425283615387372</v>
      </c>
      <c r="F77" t="s">
        <v>49</v>
      </c>
      <c r="G77" s="13">
        <f>MIN(MAIN!$R$2,E77/MAIN!$L$2)</f>
        <v>2</v>
      </c>
      <c r="H77" s="12">
        <f>(MAX(0,E77-(MAIN!$U$2)))/MAIN!$O$2</f>
        <v>5.6781604519234214</v>
      </c>
      <c r="J77" s="12">
        <f t="shared" si="2"/>
        <v>7.6781604519234214</v>
      </c>
      <c r="K77" t="s">
        <v>39</v>
      </c>
      <c r="L77" s="13">
        <f>SQRT((MAIN!$G$3-A77)^2+(MAIN!$I$3-B77)^2)</f>
        <v>57.082527098929319</v>
      </c>
      <c r="M77" t="s">
        <v>49</v>
      </c>
      <c r="N77" s="13">
        <f>MIN(MAIN!$R$3,L77/MAIN!$L$3)</f>
        <v>2</v>
      </c>
      <c r="O77" s="12">
        <f>(MAX(0,L77-(MAIN!$U$3)))/MAIN!$O$3</f>
        <v>4.3082527098929315</v>
      </c>
      <c r="Q77" s="19">
        <f t="shared" si="3"/>
        <v>6.3082527098929315</v>
      </c>
      <c r="R77" t="s">
        <v>39</v>
      </c>
      <c r="S77" s="13">
        <f>SQRT((MAIN!$G$4-A77)^2+(MAIN!$I$4-B77)^2)</f>
        <v>79.599088562621105</v>
      </c>
      <c r="T77" t="s">
        <v>49</v>
      </c>
      <c r="U77" s="13">
        <f>MIN(MAIN!$R$4,S77/MAIN!$L$4)</f>
        <v>2</v>
      </c>
      <c r="V77" s="12">
        <f>(MAX(0,S77-(MAIN!$U$4)))/MAIN!$O$4</f>
        <v>8.0748860703276382</v>
      </c>
      <c r="X77" s="19">
        <f t="shared" si="4"/>
        <v>10.074886070327638</v>
      </c>
      <c r="Y77" t="s">
        <v>39</v>
      </c>
      <c r="Z77" s="14">
        <f>IF(J77&lt;=C77,MAIN!$L$7,IF(AND(J77&gt;C77,J77&lt;=C77+MAIN!$H$7),MAIN!$M$7,MAIN!$N$7))</f>
        <v>-1.2170000000000001</v>
      </c>
      <c r="AA77" t="str">
        <f>IF(Z77=MAIN!$L$7,"OUT",IF(Z77=MAIN!$M$7,"SINGLE",IF(Z77=MAIN!$N$7,"DOUBLE")))</f>
        <v>DOUBLE</v>
      </c>
      <c r="AB77" s="14">
        <f>IF(Q77&lt;=C77,MAIN!$L$7,IF(AND(Q77&gt;C77,Q77&lt;=C77+MAIN!$H$7),MAIN!$M$7,MAIN!$N$7))</f>
        <v>-1.2170000000000001</v>
      </c>
      <c r="AC77" t="str">
        <f>IF(AB77=MAIN!$L$7,"OUT",IF(AB77=MAIN!$M$7,"SINGLE",IF(AB77=MAIN!$N$7,"DOUBLE")))</f>
        <v>DOUBLE</v>
      </c>
      <c r="AD77" s="14">
        <f>IF(X77&lt;=C77,MAIN!$L$7,IF(AND(X77&gt;C77,X77&lt;=C77+MAIN!$H$7),MAIN!$M$7,MAIN!$N$7))</f>
        <v>-1.2170000000000001</v>
      </c>
      <c r="AE77" t="str">
        <f>IF(AD77=MAIN!$L$7,"OUT",IF(AD77=MAIN!$M$7,"SINGLE",IF(AD77=MAIN!$N$7,"DOUBLE")))</f>
        <v>DOUBLE</v>
      </c>
      <c r="AF77" s="18">
        <f t="shared" si="5"/>
        <v>-1.2170000000000001</v>
      </c>
    </row>
    <row r="78" spans="1:32" x14ac:dyDescent="0.25">
      <c r="A78">
        <v>123.02</v>
      </c>
      <c r="B78">
        <v>109.04</v>
      </c>
      <c r="C78">
        <v>3.1329066451052059</v>
      </c>
      <c r="D78" t="s">
        <v>39</v>
      </c>
      <c r="E78" s="13">
        <f>SQRT((MAIN!$G$2-A78)^2+(MAIN!$I$2-B78)^2)</f>
        <v>63.953436186025229</v>
      </c>
      <c r="F78" t="s">
        <v>49</v>
      </c>
      <c r="G78" s="13">
        <f>MIN(MAIN!$R$2,E78/MAIN!$L$2)</f>
        <v>2</v>
      </c>
      <c r="H78" s="12">
        <f>(MAX(0,E78-(MAIN!$U$2)))/MAIN!$O$2</f>
        <v>6.1191795232531536</v>
      </c>
      <c r="J78" s="12">
        <f t="shared" si="2"/>
        <v>8.1191795232531536</v>
      </c>
      <c r="K78" t="s">
        <v>39</v>
      </c>
      <c r="L78" s="13">
        <f>SQRT((MAIN!$G$3-A78)^2+(MAIN!$I$3-B78)^2)</f>
        <v>52.245975921596106</v>
      </c>
      <c r="M78" t="s">
        <v>49</v>
      </c>
      <c r="N78" s="13">
        <f>MIN(MAIN!$R$3,L78/MAIN!$L$3)</f>
        <v>2</v>
      </c>
      <c r="O78" s="12">
        <f>(MAX(0,L78-(MAIN!$U$3)))/MAIN!$O$3</f>
        <v>3.8245975921596105</v>
      </c>
      <c r="Q78" s="19">
        <f t="shared" si="3"/>
        <v>5.8245975921596109</v>
      </c>
      <c r="R78" t="s">
        <v>39</v>
      </c>
      <c r="S78" s="13">
        <f>SQRT((MAIN!$G$4-A78)^2+(MAIN!$I$4-B78)^2)</f>
        <v>73.577455786402396</v>
      </c>
      <c r="T78" t="s">
        <v>49</v>
      </c>
      <c r="U78" s="13">
        <f>MIN(MAIN!$R$4,S78/MAIN!$L$4)</f>
        <v>2</v>
      </c>
      <c r="V78" s="12">
        <f>(MAX(0,S78-(MAIN!$U$4)))/MAIN!$O$4</f>
        <v>7.3221819733002995</v>
      </c>
      <c r="X78" s="19">
        <f t="shared" si="4"/>
        <v>9.3221819733002995</v>
      </c>
      <c r="Y78" t="s">
        <v>39</v>
      </c>
      <c r="Z78" s="14">
        <f>IF(J78&lt;=C78,MAIN!$L$7,IF(AND(J78&gt;C78,J78&lt;=C78+MAIN!$H$7),MAIN!$M$7,MAIN!$N$7))</f>
        <v>-1.2170000000000001</v>
      </c>
      <c r="AA78" t="str">
        <f>IF(Z78=MAIN!$L$7,"OUT",IF(Z78=MAIN!$M$7,"SINGLE",IF(Z78=MAIN!$N$7,"DOUBLE")))</f>
        <v>DOUBLE</v>
      </c>
      <c r="AB78" s="14">
        <f>IF(Q78&lt;=C78,MAIN!$L$7,IF(AND(Q78&gt;C78,Q78&lt;=C78+MAIN!$H$7),MAIN!$M$7,MAIN!$N$7))</f>
        <v>-1.2170000000000001</v>
      </c>
      <c r="AC78" t="str">
        <f>IF(AB78=MAIN!$L$7,"OUT",IF(AB78=MAIN!$M$7,"SINGLE",IF(AB78=MAIN!$N$7,"DOUBLE")))</f>
        <v>DOUBLE</v>
      </c>
      <c r="AD78" s="14">
        <f>IF(X78&lt;=C78,MAIN!$L$7,IF(AND(X78&gt;C78,X78&lt;=C78+MAIN!$H$7),MAIN!$M$7,MAIN!$N$7))</f>
        <v>-1.2170000000000001</v>
      </c>
      <c r="AE78" t="str">
        <f>IF(AD78=MAIN!$L$7,"OUT",IF(AD78=MAIN!$M$7,"SINGLE",IF(AD78=MAIN!$N$7,"DOUBLE")))</f>
        <v>DOUBLE</v>
      </c>
      <c r="AF78" s="18">
        <f t="shared" si="5"/>
        <v>-1.2170000000000001</v>
      </c>
    </row>
    <row r="79" spans="1:32" x14ac:dyDescent="0.25">
      <c r="A79">
        <v>133.5</v>
      </c>
      <c r="B79">
        <v>112.53</v>
      </c>
      <c r="C79">
        <v>4.1090391266950697</v>
      </c>
      <c r="D79" t="s">
        <v>39</v>
      </c>
      <c r="E79" s="13">
        <f>SQRT((MAIN!$G$2-A79)^2+(MAIN!$I$2-B79)^2)</f>
        <v>56.749016731569895</v>
      </c>
      <c r="F79" t="s">
        <v>49</v>
      </c>
      <c r="G79" s="13">
        <f>MIN(MAIN!$R$2,E79/MAIN!$L$2)</f>
        <v>2</v>
      </c>
      <c r="H79" s="12">
        <f>(MAX(0,E79-(MAIN!$U$2)))/MAIN!$O$2</f>
        <v>5.2186270914462369</v>
      </c>
      <c r="J79" s="12">
        <f t="shared" si="2"/>
        <v>7.2186270914462369</v>
      </c>
      <c r="K79" t="s">
        <v>39</v>
      </c>
      <c r="L79" s="13">
        <f>SQRT((MAIN!$G$3-A79)^2+(MAIN!$I$3-B79)^2)</f>
        <v>59.763290572056022</v>
      </c>
      <c r="M79" t="s">
        <v>49</v>
      </c>
      <c r="N79" s="13">
        <f>MIN(MAIN!$R$3,L79/MAIN!$L$3)</f>
        <v>2</v>
      </c>
      <c r="O79" s="12">
        <f>(MAX(0,L79-(MAIN!$U$3)))/MAIN!$O$3</f>
        <v>4.5763290572056023</v>
      </c>
      <c r="Q79" s="19">
        <f t="shared" si="3"/>
        <v>6.5763290572056023</v>
      </c>
      <c r="R79" t="s">
        <v>39</v>
      </c>
      <c r="S79" s="13">
        <f>SQRT((MAIN!$G$4-A79)^2+(MAIN!$I$4-B79)^2)</f>
        <v>84.434891484504206</v>
      </c>
      <c r="T79" t="s">
        <v>49</v>
      </c>
      <c r="U79" s="13">
        <f>MIN(MAIN!$R$4,S79/MAIN!$L$4)</f>
        <v>2</v>
      </c>
      <c r="V79" s="12">
        <f>(MAX(0,S79-(MAIN!$U$4)))/MAIN!$O$4</f>
        <v>8.6793614355630258</v>
      </c>
      <c r="X79" s="19">
        <f t="shared" si="4"/>
        <v>10.679361435563026</v>
      </c>
      <c r="Y79" t="s">
        <v>39</v>
      </c>
      <c r="Z79" s="14">
        <f>IF(J79&lt;=C79,MAIN!$L$7,IF(AND(J79&gt;C79,J79&lt;=C79+MAIN!$H$7),MAIN!$M$7,MAIN!$N$7))</f>
        <v>-1.2170000000000001</v>
      </c>
      <c r="AA79" t="str">
        <f>IF(Z79=MAIN!$L$7,"OUT",IF(Z79=MAIN!$M$7,"SINGLE",IF(Z79=MAIN!$N$7,"DOUBLE")))</f>
        <v>DOUBLE</v>
      </c>
      <c r="AB79" s="14">
        <f>IF(Q79&lt;=C79,MAIN!$L$7,IF(AND(Q79&gt;C79,Q79&lt;=C79+MAIN!$H$7),MAIN!$M$7,MAIN!$N$7))</f>
        <v>-1.2170000000000001</v>
      </c>
      <c r="AC79" t="str">
        <f>IF(AB79=MAIN!$L$7,"OUT",IF(AB79=MAIN!$M$7,"SINGLE",IF(AB79=MAIN!$N$7,"DOUBLE")))</f>
        <v>DOUBLE</v>
      </c>
      <c r="AD79" s="14">
        <f>IF(X79&lt;=C79,MAIN!$L$7,IF(AND(X79&gt;C79,X79&lt;=C79+MAIN!$H$7),MAIN!$M$7,MAIN!$N$7))</f>
        <v>-1.2170000000000001</v>
      </c>
      <c r="AE79" t="str">
        <f>IF(AD79=MAIN!$L$7,"OUT",IF(AD79=MAIN!$M$7,"SINGLE",IF(AD79=MAIN!$N$7,"DOUBLE")))</f>
        <v>DOUBLE</v>
      </c>
      <c r="AF79" s="18">
        <f t="shared" si="5"/>
        <v>-1.2170000000000001</v>
      </c>
    </row>
    <row r="80" spans="1:32" x14ac:dyDescent="0.25">
      <c r="A80">
        <v>138.26</v>
      </c>
      <c r="B80">
        <v>111.58</v>
      </c>
      <c r="C80">
        <v>6.9330677836737387</v>
      </c>
      <c r="D80" t="s">
        <v>39</v>
      </c>
      <c r="E80" s="13">
        <f>SQRT((MAIN!$G$2-A80)^2+(MAIN!$I$2-B80)^2)</f>
        <v>52.34046235944043</v>
      </c>
      <c r="F80" t="s">
        <v>49</v>
      </c>
      <c r="G80" s="13">
        <f>MIN(MAIN!$R$2,E80/MAIN!$L$2)</f>
        <v>2</v>
      </c>
      <c r="H80" s="12">
        <f>(MAX(0,E80-(MAIN!$U$2)))/MAIN!$O$2</f>
        <v>4.6675577949300537</v>
      </c>
      <c r="J80" s="12">
        <f t="shared" si="2"/>
        <v>6.6675577949300537</v>
      </c>
      <c r="K80" t="s">
        <v>39</v>
      </c>
      <c r="L80" s="13">
        <f>SQRT((MAIN!$G$3-A80)^2+(MAIN!$I$3-B80)^2)</f>
        <v>61.373642551179891</v>
      </c>
      <c r="M80" t="s">
        <v>49</v>
      </c>
      <c r="N80" s="13">
        <f>MIN(MAIN!$R$3,L80/MAIN!$L$3)</f>
        <v>2</v>
      </c>
      <c r="O80" s="12">
        <f>(MAX(0,L80-(MAIN!$U$3)))/MAIN!$O$3</f>
        <v>4.7373642551179893</v>
      </c>
      <c r="Q80" s="19">
        <f t="shared" si="3"/>
        <v>6.7373642551179893</v>
      </c>
      <c r="R80" t="s">
        <v>39</v>
      </c>
      <c r="S80" s="13">
        <f>SQRT((MAIN!$G$4-A80)^2+(MAIN!$I$4-B80)^2)</f>
        <v>89.016425450587477</v>
      </c>
      <c r="T80" t="s">
        <v>49</v>
      </c>
      <c r="U80" s="13">
        <f>MIN(MAIN!$R$4,S80/MAIN!$L$4)</f>
        <v>2</v>
      </c>
      <c r="V80" s="12">
        <f>(MAX(0,S80-(MAIN!$U$4)))/MAIN!$O$4</f>
        <v>9.2520531813234346</v>
      </c>
      <c r="X80" s="19">
        <f t="shared" si="4"/>
        <v>11.252053181323435</v>
      </c>
      <c r="Y80" t="s">
        <v>39</v>
      </c>
      <c r="Z80" s="14">
        <f>IF(J80&lt;=C80,MAIN!$L$7,IF(AND(J80&gt;C80,J80&lt;=C80+MAIN!$H$7),MAIN!$M$7,MAIN!$N$7))</f>
        <v>0.3</v>
      </c>
      <c r="AA80" t="str">
        <f>IF(Z80=MAIN!$L$7,"OUT",IF(Z80=MAIN!$M$7,"SINGLE",IF(Z80=MAIN!$N$7,"DOUBLE")))</f>
        <v>OUT</v>
      </c>
      <c r="AB80" s="14">
        <f>IF(Q80&lt;=C80,MAIN!$L$7,IF(AND(Q80&gt;C80,Q80&lt;=C80+MAIN!$H$7),MAIN!$M$7,MAIN!$N$7))</f>
        <v>0.3</v>
      </c>
      <c r="AC80" t="str">
        <f>IF(AB80=MAIN!$L$7,"OUT",IF(AB80=MAIN!$M$7,"SINGLE",IF(AB80=MAIN!$N$7,"DOUBLE")))</f>
        <v>OUT</v>
      </c>
      <c r="AD80" s="14">
        <f>IF(X80&lt;=C80,MAIN!$L$7,IF(AND(X80&gt;C80,X80&lt;=C80+MAIN!$H$7),MAIN!$M$7,MAIN!$N$7))</f>
        <v>-1.2170000000000001</v>
      </c>
      <c r="AE80" t="str">
        <f>IF(AD80=MAIN!$L$7,"OUT",IF(AD80=MAIN!$M$7,"SINGLE",IF(AD80=MAIN!$N$7,"DOUBLE")))</f>
        <v>DOUBLE</v>
      </c>
      <c r="AF80" s="18">
        <f t="shared" si="5"/>
        <v>0.3</v>
      </c>
    </row>
    <row r="81" spans="1:32" x14ac:dyDescent="0.25">
      <c r="A81">
        <v>103.73</v>
      </c>
      <c r="B81">
        <v>107.76</v>
      </c>
      <c r="C81">
        <v>3.6894158056837423</v>
      </c>
      <c r="D81" t="s">
        <v>39</v>
      </c>
      <c r="E81" s="13">
        <f>SQRT((MAIN!$G$2-A81)^2+(MAIN!$I$2-B81)^2)</f>
        <v>81.16483536606232</v>
      </c>
      <c r="F81" t="s">
        <v>49</v>
      </c>
      <c r="G81" s="13">
        <f>MIN(MAIN!$R$2,E81/MAIN!$L$2)</f>
        <v>2</v>
      </c>
      <c r="H81" s="12">
        <f>(MAX(0,E81-(MAIN!$U$2)))/MAIN!$O$2</f>
        <v>8.27060442075779</v>
      </c>
      <c r="J81" s="12">
        <f t="shared" si="2"/>
        <v>10.27060442075779</v>
      </c>
      <c r="K81" t="s">
        <v>39</v>
      </c>
      <c r="L81" s="13">
        <f>SQRT((MAIN!$G$3-A81)^2+(MAIN!$I$3-B81)^2)</f>
        <v>47.776882485151759</v>
      </c>
      <c r="M81" t="s">
        <v>49</v>
      </c>
      <c r="N81" s="13">
        <f>MIN(MAIN!$R$3,L81/MAIN!$L$3)</f>
        <v>2</v>
      </c>
      <c r="O81" s="12">
        <f>(MAX(0,L81-(MAIN!$U$3)))/MAIN!$O$3</f>
        <v>3.377688248515176</v>
      </c>
      <c r="Q81" s="19">
        <f t="shared" si="3"/>
        <v>5.3776882485151756</v>
      </c>
      <c r="R81" t="s">
        <v>39</v>
      </c>
      <c r="S81" s="13">
        <f>SQRT((MAIN!$G$4-A81)^2+(MAIN!$I$4-B81)^2)</f>
        <v>54.287480140452274</v>
      </c>
      <c r="T81" t="s">
        <v>49</v>
      </c>
      <c r="U81" s="13">
        <f>MIN(MAIN!$R$4,S81/MAIN!$L$4)</f>
        <v>2</v>
      </c>
      <c r="V81" s="12">
        <f>(MAX(0,S81-(MAIN!$U$4)))/MAIN!$O$4</f>
        <v>4.9109350175565343</v>
      </c>
      <c r="X81" s="19">
        <f t="shared" si="4"/>
        <v>6.9109350175565343</v>
      </c>
      <c r="Y81" t="s">
        <v>39</v>
      </c>
      <c r="Z81" s="14">
        <f>IF(J81&lt;=C81,MAIN!$L$7,IF(AND(J81&gt;C81,J81&lt;=C81+MAIN!$H$7),MAIN!$M$7,MAIN!$N$7))</f>
        <v>-1.2170000000000001</v>
      </c>
      <c r="AA81" t="str">
        <f>IF(Z81=MAIN!$L$7,"OUT",IF(Z81=MAIN!$M$7,"SINGLE",IF(Z81=MAIN!$N$7,"DOUBLE")))</f>
        <v>DOUBLE</v>
      </c>
      <c r="AB81" s="14">
        <f>IF(Q81&lt;=C81,MAIN!$L$7,IF(AND(Q81&gt;C81,Q81&lt;=C81+MAIN!$H$7),MAIN!$M$7,MAIN!$N$7))</f>
        <v>-0.87</v>
      </c>
      <c r="AC81" t="str">
        <f>IF(AB81=MAIN!$L$7,"OUT",IF(AB81=MAIN!$M$7,"SINGLE",IF(AB81=MAIN!$N$7,"DOUBLE")))</f>
        <v>SINGLE</v>
      </c>
      <c r="AD81" s="14">
        <f>IF(X81&lt;=C81,MAIN!$L$7,IF(AND(X81&gt;C81,X81&lt;=C81+MAIN!$H$7),MAIN!$M$7,MAIN!$N$7))</f>
        <v>-1.2170000000000001</v>
      </c>
      <c r="AE81" t="str">
        <f>IF(AD81=MAIN!$L$7,"OUT",IF(AD81=MAIN!$M$7,"SINGLE",IF(AD81=MAIN!$N$7,"DOUBLE")))</f>
        <v>DOUBLE</v>
      </c>
      <c r="AF81" s="18">
        <f t="shared" si="5"/>
        <v>-0.87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HT</vt:lpstr>
      <vt:lpstr>--</vt:lpstr>
      <vt:lpstr>---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Jaret Prothro</dc:creator>
  <cp:lastModifiedBy>Anton Dahbura</cp:lastModifiedBy>
  <cp:lastPrinted>2021-03-31T02:46:13Z</cp:lastPrinted>
  <dcterms:created xsi:type="dcterms:W3CDTF">2021-02-25T15:59:18Z</dcterms:created>
  <dcterms:modified xsi:type="dcterms:W3CDTF">2021-06-21T01:05:18Z</dcterms:modified>
</cp:coreProperties>
</file>